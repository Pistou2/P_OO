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JNLTRAV!$A$1:$D$10</definedName>
    <definedName name="_xlnm.Print_Area" localSheetId="1">Diagramme!$A$1:$GZ$39</definedName>
    <definedName name="_xlnm.Print_Area" localSheetId="0">Donnees!$A$1:$G$54</definedName>
    <definedName name="_xlnm.Print_Area" localSheetId="6">JNLTRAV!$A$1:$E$304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9" i="155"/>
  <c r="B18" i="154" l="1"/>
  <c r="B13" i="11"/>
</calcChain>
</file>

<file path=xl/sharedStrings.xml><?xml version="1.0" encoding="utf-8"?>
<sst xmlns="http://schemas.openxmlformats.org/spreadsheetml/2006/main" count="422" uniqueCount="95">
  <si>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</si>
  <si>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</si>
  <si>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</si>
  <si>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</si>
  <si>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</si>
  <si>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</si>
  <si>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</si>
  <si>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</si>
  <si>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</si>
  <si>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</si>
  <si>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</si>
  <si>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</si>
  <si>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</si>
  <si>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</si>
  <si>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</si>
  <si>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</si>
  <si>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</si>
  <si>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</si>
  <si>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</si>
  <si>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</si>
  <si>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</si>
  <si>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</si>
  <si>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</si>
  <si>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</si>
  <si>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</si>
  <si>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</si>
  <si>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</si>
  <si>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</si>
  <si>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</si>
  <si>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</si>
  <si>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</si>
  <si>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</si>
  <si>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</si>
  <si>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</si>
  <si>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</si>
  <si>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</si>
  <si>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</si>
  <si>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</si>
  <si>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</si>
  <si>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</si>
  <si>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</si>
  <si>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</si>
  <si>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</si>
  <si>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</si>
  <si>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</si>
  <si>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</si>
  <si>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</si>
  <si>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</si>
  <si>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</si>
  <si>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</si>
  <si>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</si>
  <si>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</si>
  <si>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</si>
  <si>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</si>
  <si>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</si>
  <si>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</si>
  <si>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</si>
  <si>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</si>
  <si>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</si>
  <si>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</si>
  <si>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</si>
  <si>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</si>
  <si>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</si>
  <si>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</si>
  <si>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</si>
  <si>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</si>
  <si>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</si>
  <si>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</si>
  <si>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</si>
  <si>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</si>
  <si>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</si>
  <si>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</si>
  <si>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</si>
  <si>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</si>
  <si>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</si>
  <si>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</si>
  <si>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</si>
  <si>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</si>
  <si>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</si>
  <si>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</si>
  <si>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</si>
  <si>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</si>
  <si>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</si>
  <si>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</si>
  <si>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bc47bc</t>
  </si>
  <si>
    <t>Réalisé le MPD de la base de donnée</t>
  </si>
  <si>
    <t>Après d'énormes problèmes avec Easy php ayant demandé la réinstallation complète de celui-ci (et surtout le rapatriement des données de mysql), la base de données est enfin implémentée.</t>
  </si>
  <si>
    <t>Réalisé le MCD de la base de donnée avec Jmerise
J'ai décidé de partir sur une table récursive pour stocker les dossiers, et une table simple pour les fichiers</t>
  </si>
  <si>
    <t>..\BD\BD.mcd</t>
  </si>
  <si>
    <t>c6da43</t>
  </si>
  <si>
    <t>..\BD\BD.sql</t>
  </si>
  <si>
    <t>c037d5</t>
  </si>
  <si>
    <t>Début de rapatriement de tous les graphiques UML vers le système de dessin de Visual Studio Entreprise, uniquement vriament testé les différentes possibilités</t>
  </si>
  <si>
    <t>..\Solution\ModelingP_OO-merkya</t>
  </si>
  <si>
    <t>5d91c4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</si>
</sst>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\Solution\ModelingP_OO-merkya" TargetMode="External"/><Relationship Id="rId13" Type="http://schemas.openxmlformats.org/officeDocument/2006/relationships/image" Target="../media/image6.emf"/><Relationship Id="rId3" Type="http://schemas.openxmlformats.org/officeDocument/2006/relationships/hyperlink" Target="UML-Sequence.txt" TargetMode="External"/><Relationship Id="rId7" Type="http://schemas.openxmlformats.org/officeDocument/2006/relationships/hyperlink" Target="..\BD\BD.sql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hyperlink" Target="..\BD\BD.mcd" TargetMode="External"/><Relationship Id="rId11" Type="http://schemas.openxmlformats.org/officeDocument/2006/relationships/vmlDrawing" Target="../drawings/vmlDrawing4.vml"/><Relationship Id="rId5" Type="http://schemas.openxmlformats.org/officeDocument/2006/relationships/hyperlink" Target="Brainstorm.mm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UML-Flux.vsdx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4" t="s">
        <v>45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6"/>
      <c r="P2" s="124" t="s">
        <v>46</v>
      </c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47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6"/>
      <c r="AN2" s="124" t="s">
        <v>48</v>
      </c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49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6"/>
      <c r="BL2" s="124" t="s">
        <v>50</v>
      </c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51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6"/>
      <c r="CJ2" s="124" t="s">
        <v>52</v>
      </c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53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6"/>
      <c r="DH2" s="124" t="s">
        <v>54</v>
      </c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55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6"/>
      <c r="EF2" s="124" t="s">
        <v>56</v>
      </c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57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6"/>
      <c r="FD2" s="124" t="s">
        <v>58</v>
      </c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59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6"/>
      <c r="GB2" s="124" t="s">
        <v>60</v>
      </c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61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6"/>
    </row>
    <row r="3" spans="1:207" ht="19.5" customHeight="1" x14ac:dyDescent="0.2">
      <c r="A3" s="88"/>
      <c r="B3" s="129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30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31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8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7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8"/>
      <c r="C8" s="100">
        <v>5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7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8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7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8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7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8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7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8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7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8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7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8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7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8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7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8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7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8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7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8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7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8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7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8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7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8"/>
      <c r="C34" s="100">
        <v>1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7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8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12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05"/>
  <sheetViews>
    <sheetView tabSelected="1" view="pageBreakPreview" topLeftCell="A12" zoomScale="85" zoomScaleNormal="100" zoomScaleSheetLayoutView="85" workbookViewId="0">
      <selection activeCell="E22" sqref="E22"/>
    </sheetView>
  </sheetViews>
  <sheetFormatPr baseColWidth="10" defaultColWidth="11.42578125" defaultRowHeight="12.75" x14ac:dyDescent="0.2"/>
  <cols>
    <col min="1" max="1" width="24.5703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9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9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9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9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9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9" s="81" customFormat="1" ht="14.25" thickBot="1" x14ac:dyDescent="0.25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9" ht="14.25" thickBot="1" x14ac:dyDescent="0.25">
      <c r="A9" s="76" t="s">
        <v>22</v>
      </c>
      <c r="B9" s="76">
        <f>SUM(B3:B8)</f>
        <v>12</v>
      </c>
      <c r="C9" s="83" t="s">
        <v>28</v>
      </c>
      <c r="D9" s="77"/>
      <c r="E9" s="77"/>
    </row>
    <row r="10" spans="1:9" ht="15" thickBot="1" x14ac:dyDescent="0.35">
      <c r="A10" s="78"/>
      <c r="B10" s="78"/>
      <c r="C10" s="78"/>
      <c r="D10" s="78"/>
      <c r="E10" s="78"/>
    </row>
    <row r="11" spans="1:9" ht="18.75" thickBot="1" x14ac:dyDescent="0.25">
      <c r="A11" s="71" t="s">
        <v>14</v>
      </c>
      <c r="B11" s="72">
        <v>2</v>
      </c>
      <c r="C11" s="73" t="s">
        <v>23</v>
      </c>
      <c r="D11" s="118">
        <v>42753</v>
      </c>
      <c r="E11" s="82"/>
    </row>
    <row r="12" spans="1:9" ht="27.75" thickBot="1" x14ac:dyDescent="0.25">
      <c r="A12" s="74" t="s">
        <v>3</v>
      </c>
      <c r="B12" s="75" t="s">
        <v>15</v>
      </c>
      <c r="C12" s="74" t="s">
        <v>7</v>
      </c>
      <c r="D12" s="74" t="s">
        <v>13</v>
      </c>
      <c r="E12" s="74" t="s">
        <v>63</v>
      </c>
    </row>
    <row r="13" spans="1:9" ht="13.5" x14ac:dyDescent="0.2">
      <c r="A13" s="9" t="s">
        <v>31</v>
      </c>
      <c r="B13" s="8">
        <v>5</v>
      </c>
      <c r="C13" s="13" t="s">
        <v>80</v>
      </c>
      <c r="D13" s="120" t="s">
        <v>82</v>
      </c>
      <c r="E13" s="13" t="s">
        <v>81</v>
      </c>
    </row>
    <row r="14" spans="1:9" ht="27" x14ac:dyDescent="0.2">
      <c r="A14" s="5" t="s">
        <v>62</v>
      </c>
      <c r="B14" s="6">
        <v>1</v>
      </c>
      <c r="C14" s="14" t="s">
        <v>79</v>
      </c>
      <c r="D14" s="113" t="s">
        <v>83</v>
      </c>
      <c r="E14" s="121" t="s">
        <v>84</v>
      </c>
    </row>
    <row r="15" spans="1:9" ht="54" x14ac:dyDescent="0.2">
      <c r="A15" s="5" t="s">
        <v>32</v>
      </c>
      <c r="B15" s="6">
        <v>2</v>
      </c>
      <c r="C15" s="14" t="s">
        <v>87</v>
      </c>
      <c r="D15" s="113" t="s">
        <v>88</v>
      </c>
      <c r="E15" s="14" t="s">
        <v>89</v>
      </c>
      <c r="F15" s="37"/>
      <c r="G15" s="37"/>
      <c r="H15" s="37"/>
      <c r="I15" s="37"/>
    </row>
    <row r="16" spans="1:9" ht="28.5" customHeight="1" x14ac:dyDescent="0.2">
      <c r="A16" s="5" t="s">
        <v>42</v>
      </c>
      <c r="B16" s="6">
        <v>1</v>
      </c>
      <c r="C16" s="14" t="s">
        <v>85</v>
      </c>
      <c r="D16" s="113" t="s">
        <v>90</v>
      </c>
      <c r="E16" s="14" t="s">
        <v>91</v>
      </c>
      <c r="F16" s="54"/>
      <c r="G16" s="55"/>
      <c r="H16" s="56"/>
      <c r="I16" s="37"/>
    </row>
    <row r="17" spans="1:9" ht="41.25" thickBot="1" x14ac:dyDescent="0.25">
      <c r="A17" s="5" t="s">
        <v>42</v>
      </c>
      <c r="B17" s="6">
        <v>3</v>
      </c>
      <c r="C17" s="14" t="s">
        <v>86</v>
      </c>
      <c r="D17" s="14"/>
      <c r="E17" s="14"/>
      <c r="F17" s="57"/>
      <c r="G17" s="53"/>
      <c r="H17" s="53"/>
      <c r="I17" s="37"/>
    </row>
    <row r="18" spans="1:9" ht="14.25" thickBot="1" x14ac:dyDescent="0.25">
      <c r="A18" s="76" t="s">
        <v>22</v>
      </c>
      <c r="B18" s="76">
        <f>SUM(B13:B17)</f>
        <v>12</v>
      </c>
      <c r="C18" s="83" t="s">
        <v>28</v>
      </c>
      <c r="D18" s="77"/>
      <c r="E18" s="77"/>
      <c r="F18" s="37"/>
      <c r="G18" s="37"/>
      <c r="H18" s="37"/>
      <c r="I18" s="37"/>
    </row>
    <row r="19" spans="1:9" ht="15" thickBot="1" x14ac:dyDescent="0.35">
      <c r="A19" s="78"/>
      <c r="B19" s="78"/>
      <c r="C19" s="78"/>
      <c r="D19" s="78"/>
      <c r="E19" s="78"/>
      <c r="F19" s="37"/>
      <c r="G19" s="37"/>
      <c r="H19" s="37"/>
      <c r="I19" s="37"/>
    </row>
    <row r="20" spans="1:9" ht="18.75" thickBot="1" x14ac:dyDescent="0.25">
      <c r="A20" s="71" t="s">
        <v>14</v>
      </c>
      <c r="B20" s="72">
        <v>3</v>
      </c>
      <c r="C20" s="73" t="s">
        <v>23</v>
      </c>
      <c r="D20" s="118">
        <v>42760</v>
      </c>
      <c r="E20" s="82"/>
      <c r="F20" s="37"/>
      <c r="G20" s="37"/>
      <c r="H20" s="37"/>
      <c r="I20" s="37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27" x14ac:dyDescent="0.2">
      <c r="A22" s="9" t="s">
        <v>31</v>
      </c>
      <c r="B22" s="8">
        <v>2</v>
      </c>
      <c r="C22" s="13" t="s">
        <v>92</v>
      </c>
      <c r="D22" s="120" t="s">
        <v>93</v>
      </c>
      <c r="E22" s="13" t="s">
        <v>94</v>
      </c>
    </row>
    <row r="23" spans="1:9" ht="13.5" x14ac:dyDescent="0.2">
      <c r="A23" s="5"/>
      <c r="B23" s="6"/>
      <c r="C23" s="14"/>
      <c r="D23" s="14"/>
      <c r="E23" s="14"/>
    </row>
    <row r="24" spans="1:9" ht="13.5" x14ac:dyDescent="0.2">
      <c r="A24" s="5"/>
      <c r="B24" s="6"/>
      <c r="C24" s="14"/>
      <c r="D24" s="14"/>
      <c r="E24" s="14"/>
    </row>
    <row r="25" spans="1:9" ht="13.5" x14ac:dyDescent="0.2">
      <c r="A25" s="5"/>
      <c r="B25" s="6"/>
      <c r="C25" s="14"/>
      <c r="D25" s="14"/>
      <c r="E25" s="14"/>
    </row>
    <row r="26" spans="1:9" ht="13.5" x14ac:dyDescent="0.2">
      <c r="A26" s="5"/>
      <c r="B26" s="6"/>
      <c r="C26" s="14"/>
      <c r="D26" s="14"/>
      <c r="E26" s="14"/>
    </row>
    <row r="27" spans="1:9" ht="13.5" x14ac:dyDescent="0.2">
      <c r="A27" s="5"/>
      <c r="B27" s="6"/>
      <c r="C27" s="14"/>
      <c r="D27" s="14"/>
      <c r="E27" s="14"/>
    </row>
    <row r="28" spans="1:9" ht="13.5" x14ac:dyDescent="0.2">
      <c r="A28" s="5"/>
      <c r="B28" s="6"/>
      <c r="C28" s="14"/>
      <c r="D28" s="14"/>
      <c r="E28" s="14"/>
    </row>
    <row r="29" spans="1:9" ht="13.5" x14ac:dyDescent="0.2">
      <c r="A29" s="5"/>
      <c r="B29" s="6"/>
      <c r="C29" s="14"/>
      <c r="D29" s="14"/>
      <c r="E29" s="14"/>
    </row>
    <row r="30" spans="1:9" ht="13.5" x14ac:dyDescent="0.2">
      <c r="A30" s="5"/>
      <c r="B30" s="6"/>
      <c r="C30" s="14"/>
      <c r="D30" s="14"/>
      <c r="E30" s="14"/>
    </row>
    <row r="31" spans="1:9" ht="13.5" x14ac:dyDescent="0.2">
      <c r="A31" s="6"/>
      <c r="B31" s="6"/>
      <c r="C31" s="14"/>
      <c r="D31" s="14"/>
      <c r="E31" s="14"/>
    </row>
    <row r="32" spans="1:9" ht="13.5" x14ac:dyDescent="0.2">
      <c r="A32" s="6"/>
      <c r="B32" s="6"/>
      <c r="C32" s="14"/>
      <c r="D32" s="14"/>
      <c r="E32" s="14"/>
    </row>
    <row r="33" spans="1:5" ht="13.5" x14ac:dyDescent="0.2">
      <c r="A33" s="6"/>
      <c r="B33" s="6"/>
      <c r="C33" s="14"/>
      <c r="D33" s="14"/>
      <c r="E33" s="14"/>
    </row>
    <row r="34" spans="1:5" ht="13.5" x14ac:dyDescent="0.2">
      <c r="A34" s="79"/>
      <c r="B34" s="79"/>
      <c r="C34" s="80"/>
      <c r="D34" s="80"/>
      <c r="E34" s="80"/>
    </row>
    <row r="35" spans="1:5" ht="13.5" x14ac:dyDescent="0.2">
      <c r="A35" s="79"/>
      <c r="B35" s="79"/>
      <c r="C35" s="80"/>
      <c r="D35" s="80"/>
      <c r="E35" s="80"/>
    </row>
    <row r="36" spans="1:5" ht="14.25" thickBot="1" x14ac:dyDescent="0.25">
      <c r="A36" s="7"/>
      <c r="B36" s="7"/>
      <c r="C36" s="15"/>
      <c r="D36" s="15"/>
      <c r="E36" s="15"/>
    </row>
    <row r="37" spans="1:5" ht="14.25" thickBot="1" x14ac:dyDescent="0.25">
      <c r="A37" s="76" t="s">
        <v>22</v>
      </c>
      <c r="B37" s="76">
        <f>SUM(B22:B36)</f>
        <v>2</v>
      </c>
      <c r="C37" s="83" t="s">
        <v>28</v>
      </c>
      <c r="D37" s="77"/>
      <c r="E37" s="77"/>
    </row>
    <row r="38" spans="1:5" ht="15" thickBot="1" x14ac:dyDescent="0.35">
      <c r="A38" s="78"/>
      <c r="B38" s="78"/>
      <c r="C38" s="78"/>
      <c r="D38" s="78"/>
      <c r="E38" s="78"/>
    </row>
    <row r="39" spans="1:5" ht="18.75" thickBot="1" x14ac:dyDescent="0.25">
      <c r="A39" s="71" t="s">
        <v>14</v>
      </c>
      <c r="B39" s="72">
        <v>4</v>
      </c>
      <c r="C39" s="73" t="s">
        <v>23</v>
      </c>
      <c r="D39" s="118">
        <v>42767</v>
      </c>
      <c r="E39" s="82"/>
    </row>
    <row r="40" spans="1:5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5" ht="13.5" x14ac:dyDescent="0.2">
      <c r="A41" s="9"/>
      <c r="B41" s="8"/>
      <c r="C41" s="13"/>
      <c r="D41" s="13"/>
      <c r="E41" s="13"/>
    </row>
    <row r="42" spans="1:5" ht="13.5" x14ac:dyDescent="0.2">
      <c r="A42" s="5"/>
      <c r="B42" s="6"/>
      <c r="C42" s="14"/>
      <c r="D42" s="14"/>
      <c r="E42" s="14"/>
    </row>
    <row r="43" spans="1:5" ht="13.5" x14ac:dyDescent="0.2">
      <c r="A43" s="5"/>
      <c r="B43" s="6"/>
      <c r="C43" s="14"/>
      <c r="D43" s="14"/>
      <c r="E43" s="14"/>
    </row>
    <row r="44" spans="1:5" ht="13.5" x14ac:dyDescent="0.2">
      <c r="A44" s="5"/>
      <c r="B44" s="6"/>
      <c r="C44" s="14"/>
      <c r="D44" s="14"/>
      <c r="E44" s="14"/>
    </row>
    <row r="45" spans="1:5" ht="13.5" x14ac:dyDescent="0.2">
      <c r="A45" s="5"/>
      <c r="B45" s="6"/>
      <c r="C45" s="14"/>
      <c r="D45" s="14"/>
      <c r="E45" s="14"/>
    </row>
    <row r="46" spans="1:5" ht="13.5" x14ac:dyDescent="0.2">
      <c r="A46" s="5"/>
      <c r="B46" s="6"/>
      <c r="C46" s="14"/>
      <c r="D46" s="14"/>
      <c r="E46" s="14"/>
    </row>
    <row r="47" spans="1:5" ht="13.5" x14ac:dyDescent="0.2">
      <c r="A47" s="5"/>
      <c r="B47" s="6"/>
      <c r="C47" s="14"/>
      <c r="D47" s="14"/>
      <c r="E47" s="14"/>
    </row>
    <row r="48" spans="1:5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5</v>
      </c>
      <c r="C58" s="73" t="s">
        <v>23</v>
      </c>
      <c r="D58" s="118">
        <v>42774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6</v>
      </c>
      <c r="C77" s="73" t="s">
        <v>23</v>
      </c>
      <c r="D77" s="118">
        <v>42781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7</v>
      </c>
      <c r="C96" s="73" t="s">
        <v>23</v>
      </c>
      <c r="D96" s="118">
        <v>42788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8</v>
      </c>
      <c r="C115" s="73" t="s">
        <v>23</v>
      </c>
      <c r="D115" s="118">
        <v>42795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9</v>
      </c>
      <c r="C134" s="73" t="s">
        <v>23</v>
      </c>
      <c r="D134" s="118">
        <v>42802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10</v>
      </c>
      <c r="C153" s="73" t="s">
        <v>23</v>
      </c>
      <c r="D153" s="118">
        <v>42809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11</v>
      </c>
      <c r="C172" s="73" t="s">
        <v>23</v>
      </c>
      <c r="D172" s="118">
        <v>42816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12</v>
      </c>
      <c r="C191" s="73" t="s">
        <v>23</v>
      </c>
      <c r="D191" s="118">
        <v>42823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13</v>
      </c>
      <c r="C210" s="73" t="s">
        <v>23</v>
      </c>
      <c r="D210" s="118">
        <v>42830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14</v>
      </c>
      <c r="C229" s="73" t="s">
        <v>23</v>
      </c>
      <c r="D229" s="118">
        <v>42837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15</v>
      </c>
      <c r="C248" s="73" t="s">
        <v>23</v>
      </c>
      <c r="D248" s="118">
        <v>42844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16</v>
      </c>
      <c r="C267" s="73" t="s">
        <v>23</v>
      </c>
      <c r="D267" s="118">
        <v>42851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17</v>
      </c>
      <c r="C286" s="73" t="s">
        <v>23</v>
      </c>
      <c r="D286" s="118">
        <v>42858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4.25" x14ac:dyDescent="0.3">
      <c r="A304" s="78"/>
      <c r="B304" s="78"/>
      <c r="C304" s="78"/>
      <c r="D304" s="78"/>
      <c r="E304" s="78"/>
    </row>
    <row r="305" spans="1:1" x14ac:dyDescent="0.2">
      <c r="A305" s="84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8 B1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9 B18 B37 B56 B75 B94 B113 B132 B151 B170 B189 B208 B227 B246 B265 B284 B303">
      <formula1>0</formula1>
      <formula2>NbPerWeek * NbQuartPer</formula2>
    </dataValidation>
    <dataValidation type="list" allowBlank="1" showInputMessage="1" showErrorMessage="1" sqref="A3:A8 A13:A17 A22:A36 A41:A55 A60:A74 A79:A93 A98:A112 A117:A131 A136:A150 A155:A169 A174:A188 A193:A207 A212:A226 A231:A245 A250:A264 A269:A283 A288:A302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13" r:id="rId4"/>
    <hyperlink ref="D14" r:id="rId5"/>
    <hyperlink ref="D15" r:id="rId6"/>
    <hyperlink ref="D16" r:id="rId7"/>
    <hyperlink ref="D22" r:id="rId8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9"/>
  <headerFooter>
    <oddHeader>&amp;L&amp;"ETML L,Normal"&amp;24ETML</oddHeader>
    <oddFooter>&amp;C&amp;F&amp;L&amp;D</oddFooter>
  </headerFooter>
  <drawing r:id="rId10"/>
  <legacyDrawing r:id="rId11"/>
  <controls>
    <mc:AlternateContent xmlns:mc="http://schemas.openxmlformats.org/markup-compatibility/2006">
      <mc:Choice Requires="x14">
        <control shapeId="41985" r:id="rId12" name="btnImportRealisation">
          <controlPr defaultSize="0" autoLine="0" r:id="rId13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12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2017-01-25T07:31:46Z</dcterms:modified>
  <cp:contentStatus>Version 8.0</cp:contentStatus>
</cp:coreProperties>
</file>