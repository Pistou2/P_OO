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JNLTRAV!$A$1:$D$10</definedName>
    <definedName name="_xlnm.Print_Area" localSheetId="1">Diagramme!$A$1:$GZ$39</definedName>
    <definedName name="_xlnm.Print_Area" localSheetId="0">Donnees!$A$1:$G$54</definedName>
    <definedName name="_xlnm.Print_Area" localSheetId="6">JNLTRAV!$A$1:$E$304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9" i="155"/>
  <c r="B18" i="154" l="1"/>
  <c r="B13" i="11"/>
</calcChain>
</file>

<file path=xl/sharedStrings.xml><?xml version="1.0" encoding="utf-8"?>
<sst xmlns="http://schemas.openxmlformats.org/spreadsheetml/2006/main" count="437" uniqueCount="104">
  <si>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</si>
  <si>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</si>
  <si>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</si>
  <si>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</si>
  <si>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</si>
  <si>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</si>
  <si>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</si>
  <si>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</si>
  <si>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</si>
  <si>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</si>
  <si>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</si>
  <si>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</si>
  <si>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</si>
  <si>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</si>
  <si>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</si>
  <si>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</si>
  <si>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</si>
  <si>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</si>
  <si>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</si>
  <si>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</si>
  <si>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</si>
  <si>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</si>
  <si>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</si>
  <si>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</si>
  <si>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</si>
  <si>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</si>
  <si>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</si>
  <si>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</si>
  <si>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</si>
  <si>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</si>
  <si>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</si>
  <si>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</si>
  <si>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</si>
  <si>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</si>
  <si>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</si>
  <si>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</si>
  <si>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</si>
  <si>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</si>
  <si>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</si>
  <si>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</si>
  <si>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</si>
  <si>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</si>
  <si>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</si>
  <si>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</si>
  <si>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</si>
  <si>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</si>
  <si>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</si>
  <si>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</si>
  <si>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</si>
  <si>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</si>
  <si>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</si>
  <si>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</si>
  <si>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</si>
  <si>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</si>
  <si>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</si>
  <si>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</si>
  <si>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</si>
  <si>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</si>
  <si>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</si>
  <si>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</si>
  <si>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</si>
  <si>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</si>
  <si>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</si>
  <si>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</si>
  <si>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</si>
  <si>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</si>
  <si>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</si>
  <si>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</si>
  <si>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</si>
  <si>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</si>
  <si>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</si>
  <si>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</si>
  <si>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</si>
  <si>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</si>
  <si>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</si>
  <si>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UML-Sequence.txt</t>
  </si>
  <si>
    <t>d0a24b</t>
  </si>
  <si>
    <t>Créé le diagrame UML de séquence</t>
  </si>
  <si>
    <t>Création du diagrame UML d'User Act</t>
  </si>
  <si>
    <t>Brainstormé sur comment s'occuper des fichiers plus existant lors de l'indexation, et sur comment réalisé les recherche</t>
  </si>
  <si>
    <t>Créé le diagrame UML de flux</t>
  </si>
  <si>
    <t>5ecd8a</t>
  </si>
  <si>
    <t>UML-Flux.vsdx</t>
  </si>
  <si>
    <t>Brainstorm.mm</t>
  </si>
  <si>
    <t>bc47bc</t>
  </si>
  <si>
    <t>Réalisé le MPD de la base de donnée</t>
  </si>
  <si>
    <t>Après d'énormes problèmes avec Easy php ayant demandé la réinstallation complète de celui-ci (et surtout le rapatriement des données de mysql), la base de données est enfin implémentée.</t>
  </si>
  <si>
    <t>Réalisé le MCD de la base de donnée avec Jmerise
J'ai décidé de partir sur une table récursive pour stocker les dossiers, et une table simple pour les fichiers</t>
  </si>
  <si>
    <t>..\BD\BD.mcd</t>
  </si>
  <si>
    <t>c6da43</t>
  </si>
  <si>
    <t>..\BD\BD.sql</t>
  </si>
  <si>
    <t>c037d5</t>
  </si>
  <si>
    <t>Début de rapatriement de tous les graphiques UML vers le système de dessin de Visual Studio Entreprise, uniquement vriament testé les différentes possibilités</t>
  </si>
  <si>
    <t>..\Solution\ModelingP_OO-merkya</t>
  </si>
  <si>
    <t>5d91c4</t>
  </si>
  <si>
    <t>Commencé à travailler sur la solution, réalisé un lien vers une base de donnée gérées par le programme lui-même (SQLite3)</t>
  </si>
  <si>
    <t>Adapté le script de création de la BD au format SQLite</t>
  </si>
  <si>
    <t>..\Solution</t>
  </si>
  <si>
    <t>e6011d</t>
  </si>
  <si>
    <t>804c1f</t>
  </si>
  <si>
    <t>Ajouté un champs pour le type de dossier dans la table t_folder (pour différencier des fichiers du K, du web, …)
Et un champ file extension dans t_file</t>
  </si>
  <si>
    <t>0ea873</t>
  </si>
  <si>
    <t>Prise de tête avec l'exploration sur le K, début d'exploration réussi, mais bloque dès que le path de base est atteint</t>
  </si>
  <si>
    <t>67fc88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</si>
</sst>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11" fontId="10" fillId="0" borderId="2" xfId="0" quotePrefix="1" applyNumberFormat="1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\Solution\ModelingP_OO-merkya" TargetMode="External"/><Relationship Id="rId13" Type="http://schemas.openxmlformats.org/officeDocument/2006/relationships/drawing" Target="../drawings/drawing4.xml"/><Relationship Id="rId3" Type="http://schemas.openxmlformats.org/officeDocument/2006/relationships/hyperlink" Target="UML-Sequence.txt" TargetMode="External"/><Relationship Id="rId7" Type="http://schemas.openxmlformats.org/officeDocument/2006/relationships/hyperlink" Target="..\BD\BD.sql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Brainstorm.mm" TargetMode="External"/><Relationship Id="rId16" Type="http://schemas.openxmlformats.org/officeDocument/2006/relationships/image" Target="../media/image6.emf"/><Relationship Id="rId1" Type="http://schemas.openxmlformats.org/officeDocument/2006/relationships/hyperlink" Target="UML-UseAct.vsdx" TargetMode="External"/><Relationship Id="rId6" Type="http://schemas.openxmlformats.org/officeDocument/2006/relationships/hyperlink" Target="..\BD\BD.mcd" TargetMode="External"/><Relationship Id="rId11" Type="http://schemas.openxmlformats.org/officeDocument/2006/relationships/hyperlink" Target="..\BD\BD.sql" TargetMode="External"/><Relationship Id="rId5" Type="http://schemas.openxmlformats.org/officeDocument/2006/relationships/hyperlink" Target="Brainstorm.mm" TargetMode="External"/><Relationship Id="rId15" Type="http://schemas.openxmlformats.org/officeDocument/2006/relationships/control" Target="../activeX/activeX6.xml"/><Relationship Id="rId10" Type="http://schemas.openxmlformats.org/officeDocument/2006/relationships/hyperlink" Target="..\BD\BD.sql" TargetMode="External"/><Relationship Id="rId4" Type="http://schemas.openxmlformats.org/officeDocument/2006/relationships/hyperlink" Target="UML-Flux.vsdx" TargetMode="External"/><Relationship Id="rId9" Type="http://schemas.openxmlformats.org/officeDocument/2006/relationships/hyperlink" Target="..\Solution" TargetMode="External"/><Relationship Id="rId1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="85" zoomScaleNormal="85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view="pageBreakPreview" topLeftCell="A4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6" t="s">
        <v>45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8"/>
      <c r="P2" s="126" t="s">
        <v>46</v>
      </c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8"/>
      <c r="AB2" s="126" t="s">
        <v>47</v>
      </c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8"/>
      <c r="AN2" s="126" t="s">
        <v>48</v>
      </c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8"/>
      <c r="AZ2" s="126" t="s">
        <v>49</v>
      </c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8"/>
      <c r="BL2" s="126" t="s">
        <v>50</v>
      </c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8"/>
      <c r="BX2" s="126" t="s">
        <v>51</v>
      </c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8"/>
      <c r="CJ2" s="126" t="s">
        <v>52</v>
      </c>
      <c r="CK2" s="127"/>
      <c r="CL2" s="127"/>
      <c r="CM2" s="127"/>
      <c r="CN2" s="127"/>
      <c r="CO2" s="127"/>
      <c r="CP2" s="127"/>
      <c r="CQ2" s="127"/>
      <c r="CR2" s="127"/>
      <c r="CS2" s="127"/>
      <c r="CT2" s="127"/>
      <c r="CU2" s="128"/>
      <c r="CV2" s="126" t="s">
        <v>53</v>
      </c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8"/>
      <c r="DH2" s="126" t="s">
        <v>54</v>
      </c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8"/>
      <c r="DT2" s="126" t="s">
        <v>55</v>
      </c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8"/>
      <c r="EF2" s="126" t="s">
        <v>56</v>
      </c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8"/>
      <c r="ER2" s="126" t="s">
        <v>57</v>
      </c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8"/>
      <c r="FD2" s="126" t="s">
        <v>58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8"/>
      <c r="FP2" s="126" t="s">
        <v>59</v>
      </c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8"/>
      <c r="GB2" s="126" t="s">
        <v>60</v>
      </c>
      <c r="GC2" s="127"/>
      <c r="GD2" s="127"/>
      <c r="GE2" s="127"/>
      <c r="GF2" s="127"/>
      <c r="GG2" s="127"/>
      <c r="GH2" s="127"/>
      <c r="GI2" s="127"/>
      <c r="GJ2" s="127"/>
      <c r="GK2" s="127"/>
      <c r="GL2" s="127"/>
      <c r="GM2" s="128"/>
      <c r="GN2" s="126" t="s">
        <v>61</v>
      </c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8"/>
    </row>
    <row r="3" spans="1:207" ht="19.5" customHeight="1" x14ac:dyDescent="0.2">
      <c r="A3" s="88"/>
      <c r="B3" s="129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30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31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5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4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5"/>
      <c r="C8" s="100">
        <v>12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19"/>
      <c r="P8" s="114"/>
      <c r="Q8" s="115"/>
      <c r="R8" s="116"/>
      <c r="S8" s="117"/>
      <c r="T8" s="115"/>
      <c r="U8" s="96"/>
      <c r="V8" s="97"/>
      <c r="W8" s="95"/>
      <c r="X8" s="96"/>
      <c r="Y8" s="97"/>
      <c r="Z8" s="95"/>
      <c r="AA8" s="98"/>
      <c r="AB8" s="114"/>
      <c r="AC8" s="11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4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5"/>
      <c r="C10" s="100">
        <v>2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117"/>
      <c r="W10" s="11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4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5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4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5"/>
      <c r="C14" s="100">
        <v>4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116"/>
      <c r="Y14" s="117"/>
      <c r="Z14" s="115"/>
      <c r="AA14" s="119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4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5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4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5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4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5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4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5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4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5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4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5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4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5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4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5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4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5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4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5"/>
      <c r="C34" s="100">
        <v>2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11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4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5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26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05"/>
  <sheetViews>
    <sheetView tabSelected="1" view="pageBreakPreview" topLeftCell="A35" zoomScaleNormal="100" zoomScaleSheetLayoutView="100" workbookViewId="0">
      <selection activeCell="E42" sqref="E42"/>
    </sheetView>
  </sheetViews>
  <sheetFormatPr baseColWidth="10" defaultColWidth="11.42578125" defaultRowHeight="12.75" x14ac:dyDescent="0.2"/>
  <cols>
    <col min="1" max="1" width="24.5703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63</v>
      </c>
    </row>
    <row r="3" spans="1:9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9" s="81" customFormat="1" ht="13.5" x14ac:dyDescent="0.2">
      <c r="A4" s="5" t="s">
        <v>70</v>
      </c>
      <c r="B4" s="6">
        <v>3</v>
      </c>
      <c r="C4" s="14" t="s">
        <v>71</v>
      </c>
      <c r="D4" t="s">
        <v>67</v>
      </c>
      <c r="E4" s="14" t="s">
        <v>64</v>
      </c>
    </row>
    <row r="5" spans="1:9" s="81" customFormat="1" ht="13.5" x14ac:dyDescent="0.2">
      <c r="A5" s="5" t="s">
        <v>31</v>
      </c>
      <c r="B5" s="6">
        <v>1</v>
      </c>
      <c r="C5" s="14" t="s">
        <v>78</v>
      </c>
      <c r="D5" s="113" t="s">
        <v>66</v>
      </c>
      <c r="E5" t="s">
        <v>65</v>
      </c>
    </row>
    <row r="6" spans="1:9" s="81" customFormat="1" ht="13.5" x14ac:dyDescent="0.2">
      <c r="A6" s="5" t="s">
        <v>62</v>
      </c>
      <c r="B6" s="6">
        <v>1</v>
      </c>
      <c r="C6" s="14" t="s">
        <v>68</v>
      </c>
      <c r="D6" s="113" t="s">
        <v>69</v>
      </c>
      <c r="E6" s="14" t="s">
        <v>73</v>
      </c>
    </row>
    <row r="7" spans="1:9" s="81" customFormat="1" ht="13.5" x14ac:dyDescent="0.2">
      <c r="A7" s="5" t="s">
        <v>70</v>
      </c>
      <c r="B7" s="6">
        <v>1</v>
      </c>
      <c r="C7" s="14" t="s">
        <v>72</v>
      </c>
      <c r="D7" t="s">
        <v>67</v>
      </c>
      <c r="E7" s="14" t="s">
        <v>74</v>
      </c>
    </row>
    <row r="8" spans="1:9" s="81" customFormat="1" ht="14.25" thickBot="1" x14ac:dyDescent="0.25">
      <c r="A8" s="5" t="s">
        <v>31</v>
      </c>
      <c r="B8" s="6">
        <v>4</v>
      </c>
      <c r="C8" s="14" t="s">
        <v>77</v>
      </c>
      <c r="D8" s="113" t="s">
        <v>75</v>
      </c>
      <c r="E8" s="14" t="s">
        <v>76</v>
      </c>
    </row>
    <row r="9" spans="1:9" ht="14.25" thickBot="1" x14ac:dyDescent="0.25">
      <c r="A9" s="76" t="s">
        <v>22</v>
      </c>
      <c r="B9" s="76">
        <f>SUM(B3:B8)</f>
        <v>12</v>
      </c>
      <c r="C9" s="83" t="s">
        <v>28</v>
      </c>
      <c r="D9" s="77"/>
      <c r="E9" s="77"/>
    </row>
    <row r="10" spans="1:9" ht="15" thickBot="1" x14ac:dyDescent="0.35">
      <c r="A10" s="78"/>
      <c r="B10" s="78"/>
      <c r="C10" s="78"/>
      <c r="D10" s="78"/>
      <c r="E10" s="78"/>
    </row>
    <row r="11" spans="1:9" ht="18.75" thickBot="1" x14ac:dyDescent="0.25">
      <c r="A11" s="71" t="s">
        <v>14</v>
      </c>
      <c r="B11" s="72">
        <v>2</v>
      </c>
      <c r="C11" s="73" t="s">
        <v>23</v>
      </c>
      <c r="D11" s="118">
        <v>42753</v>
      </c>
      <c r="E11" s="82"/>
    </row>
    <row r="12" spans="1:9" ht="27.75" thickBot="1" x14ac:dyDescent="0.25">
      <c r="A12" s="74" t="s">
        <v>3</v>
      </c>
      <c r="B12" s="75" t="s">
        <v>15</v>
      </c>
      <c r="C12" s="74" t="s">
        <v>7</v>
      </c>
      <c r="D12" s="74" t="s">
        <v>13</v>
      </c>
      <c r="E12" s="74" t="s">
        <v>63</v>
      </c>
    </row>
    <row r="13" spans="1:9" ht="13.5" x14ac:dyDescent="0.2">
      <c r="A13" s="9" t="s">
        <v>31</v>
      </c>
      <c r="B13" s="8">
        <v>5</v>
      </c>
      <c r="C13" s="13" t="s">
        <v>80</v>
      </c>
      <c r="D13" s="120" t="s">
        <v>82</v>
      </c>
      <c r="E13" s="13" t="s">
        <v>81</v>
      </c>
    </row>
    <row r="14" spans="1:9" ht="27" x14ac:dyDescent="0.2">
      <c r="A14" s="5" t="s">
        <v>62</v>
      </c>
      <c r="B14" s="6">
        <v>1</v>
      </c>
      <c r="C14" s="14" t="s">
        <v>79</v>
      </c>
      <c r="D14" s="113" t="s">
        <v>83</v>
      </c>
      <c r="E14" s="121" t="s">
        <v>84</v>
      </c>
    </row>
    <row r="15" spans="1:9" ht="54" x14ac:dyDescent="0.2">
      <c r="A15" s="5" t="s">
        <v>32</v>
      </c>
      <c r="B15" s="6">
        <v>2</v>
      </c>
      <c r="C15" s="14" t="s">
        <v>87</v>
      </c>
      <c r="D15" s="113" t="s">
        <v>88</v>
      </c>
      <c r="E15" s="14" t="s">
        <v>89</v>
      </c>
      <c r="F15" s="37"/>
      <c r="G15" s="37"/>
      <c r="H15" s="37"/>
      <c r="I15" s="37"/>
    </row>
    <row r="16" spans="1:9" ht="28.5" customHeight="1" x14ac:dyDescent="0.2">
      <c r="A16" s="5" t="s">
        <v>42</v>
      </c>
      <c r="B16" s="6">
        <v>1</v>
      </c>
      <c r="C16" s="14" t="s">
        <v>85</v>
      </c>
      <c r="D16" s="113" t="s">
        <v>90</v>
      </c>
      <c r="E16" s="14" t="s">
        <v>91</v>
      </c>
      <c r="F16" s="54"/>
      <c r="G16" s="55"/>
      <c r="H16" s="56"/>
      <c r="I16" s="37"/>
    </row>
    <row r="17" spans="1:9" ht="41.25" thickBot="1" x14ac:dyDescent="0.25">
      <c r="A17" s="5" t="s">
        <v>42</v>
      </c>
      <c r="B17" s="6">
        <v>3</v>
      </c>
      <c r="C17" s="14" t="s">
        <v>86</v>
      </c>
      <c r="D17" s="14"/>
      <c r="E17" s="14"/>
      <c r="F17" s="57"/>
      <c r="G17" s="53"/>
      <c r="H17" s="53"/>
      <c r="I17" s="37"/>
    </row>
    <row r="18" spans="1:9" ht="14.25" thickBot="1" x14ac:dyDescent="0.25">
      <c r="A18" s="76" t="s">
        <v>22</v>
      </c>
      <c r="B18" s="76">
        <f>SUM(B13:B17)</f>
        <v>12</v>
      </c>
      <c r="C18" s="83" t="s">
        <v>28</v>
      </c>
      <c r="D18" s="77"/>
      <c r="E18" s="77"/>
      <c r="F18" s="37"/>
      <c r="G18" s="37"/>
      <c r="H18" s="37"/>
      <c r="I18" s="37"/>
    </row>
    <row r="19" spans="1:9" ht="15" thickBot="1" x14ac:dyDescent="0.35">
      <c r="A19" s="78"/>
      <c r="B19" s="78"/>
      <c r="C19" s="78"/>
      <c r="D19" s="78"/>
      <c r="E19" s="78"/>
      <c r="F19" s="37"/>
      <c r="G19" s="37"/>
      <c r="H19" s="37"/>
      <c r="I19" s="37"/>
    </row>
    <row r="20" spans="1:9" ht="18.75" thickBot="1" x14ac:dyDescent="0.25">
      <c r="A20" s="71" t="s">
        <v>14</v>
      </c>
      <c r="B20" s="72">
        <v>3</v>
      </c>
      <c r="C20" s="73" t="s">
        <v>23</v>
      </c>
      <c r="D20" s="118">
        <v>42760</v>
      </c>
      <c r="E20" s="82"/>
      <c r="F20" s="37"/>
      <c r="G20" s="37"/>
      <c r="H20" s="37"/>
      <c r="I20" s="37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63</v>
      </c>
    </row>
    <row r="22" spans="1:9" ht="27" x14ac:dyDescent="0.2">
      <c r="A22" s="9" t="s">
        <v>31</v>
      </c>
      <c r="B22" s="8">
        <v>2</v>
      </c>
      <c r="C22" s="13" t="s">
        <v>92</v>
      </c>
      <c r="D22" s="120" t="s">
        <v>93</v>
      </c>
      <c r="E22" s="13" t="s">
        <v>94</v>
      </c>
    </row>
    <row r="23" spans="1:9" ht="27" x14ac:dyDescent="0.2">
      <c r="A23" s="5" t="s">
        <v>33</v>
      </c>
      <c r="B23" s="6">
        <v>8</v>
      </c>
      <c r="C23" s="14" t="s">
        <v>95</v>
      </c>
      <c r="D23" s="113" t="s">
        <v>97</v>
      </c>
      <c r="E23" s="14" t="s">
        <v>98</v>
      </c>
    </row>
    <row r="24" spans="1:9" ht="27" x14ac:dyDescent="0.2">
      <c r="A24" s="5" t="s">
        <v>42</v>
      </c>
      <c r="B24" s="6">
        <v>2</v>
      </c>
      <c r="C24" s="14" t="s">
        <v>96</v>
      </c>
      <c r="D24" s="113" t="s">
        <v>90</v>
      </c>
      <c r="E24" s="14" t="s">
        <v>99</v>
      </c>
    </row>
    <row r="25" spans="1:9" ht="13.5" x14ac:dyDescent="0.2">
      <c r="A25" s="5"/>
      <c r="B25" s="6"/>
      <c r="C25" s="14"/>
      <c r="D25" s="14"/>
      <c r="E25" s="14"/>
    </row>
    <row r="26" spans="1:9" ht="13.5" x14ac:dyDescent="0.2">
      <c r="A26" s="5"/>
      <c r="B26" s="6"/>
      <c r="C26" s="14"/>
      <c r="D26" s="14"/>
      <c r="E26" s="14"/>
    </row>
    <row r="27" spans="1:9" ht="13.5" x14ac:dyDescent="0.2">
      <c r="A27" s="5"/>
      <c r="B27" s="6"/>
      <c r="C27" s="14"/>
      <c r="D27" s="14"/>
      <c r="E27" s="14"/>
    </row>
    <row r="28" spans="1:9" ht="13.5" x14ac:dyDescent="0.2">
      <c r="A28" s="5"/>
      <c r="B28" s="6"/>
      <c r="C28" s="14"/>
      <c r="D28" s="14"/>
      <c r="E28" s="14"/>
    </row>
    <row r="29" spans="1:9" ht="13.5" x14ac:dyDescent="0.2">
      <c r="A29" s="5"/>
      <c r="B29" s="6"/>
      <c r="C29" s="14"/>
      <c r="D29" s="14"/>
      <c r="E29" s="14"/>
    </row>
    <row r="30" spans="1:9" ht="13.5" x14ac:dyDescent="0.2">
      <c r="A30" s="5"/>
      <c r="B30" s="6"/>
      <c r="C30" s="14"/>
      <c r="D30" s="14"/>
      <c r="E30" s="14"/>
    </row>
    <row r="31" spans="1:9" ht="13.5" x14ac:dyDescent="0.2">
      <c r="A31" s="6"/>
      <c r="B31" s="6"/>
      <c r="C31" s="14"/>
      <c r="D31" s="14"/>
      <c r="E31" s="14"/>
    </row>
    <row r="32" spans="1:9" ht="13.5" x14ac:dyDescent="0.2">
      <c r="A32" s="6"/>
      <c r="B32" s="6"/>
      <c r="C32" s="14"/>
      <c r="D32" s="14"/>
      <c r="E32" s="14"/>
    </row>
    <row r="33" spans="1:5" ht="13.5" x14ac:dyDescent="0.2">
      <c r="A33" s="6"/>
      <c r="B33" s="6"/>
      <c r="C33" s="14"/>
      <c r="D33" s="14"/>
      <c r="E33" s="14"/>
    </row>
    <row r="34" spans="1:5" ht="13.5" x14ac:dyDescent="0.2">
      <c r="A34" s="79"/>
      <c r="B34" s="79"/>
      <c r="C34" s="80"/>
      <c r="D34" s="80"/>
      <c r="E34" s="80"/>
    </row>
    <row r="35" spans="1:5" ht="13.5" x14ac:dyDescent="0.2">
      <c r="A35" s="79"/>
      <c r="B35" s="79"/>
      <c r="C35" s="80"/>
      <c r="D35" s="80"/>
      <c r="E35" s="80"/>
    </row>
    <row r="36" spans="1:5" ht="14.25" thickBot="1" x14ac:dyDescent="0.25">
      <c r="A36" s="7"/>
      <c r="B36" s="7"/>
      <c r="C36" s="15"/>
      <c r="D36" s="15"/>
      <c r="E36" s="15"/>
    </row>
    <row r="37" spans="1:5" ht="14.25" thickBot="1" x14ac:dyDescent="0.25">
      <c r="A37" s="76" t="s">
        <v>22</v>
      </c>
      <c r="B37" s="76">
        <f>SUM(B22:B36)</f>
        <v>12</v>
      </c>
      <c r="C37" s="83" t="s">
        <v>28</v>
      </c>
      <c r="D37" s="77"/>
      <c r="E37" s="77"/>
    </row>
    <row r="38" spans="1:5" ht="15" thickBot="1" x14ac:dyDescent="0.35">
      <c r="A38" s="78"/>
      <c r="B38" s="78"/>
      <c r="C38" s="78"/>
      <c r="D38" s="78"/>
      <c r="E38" s="78"/>
    </row>
    <row r="39" spans="1:5" ht="18.75" thickBot="1" x14ac:dyDescent="0.25">
      <c r="A39" s="71" t="s">
        <v>14</v>
      </c>
      <c r="B39" s="72">
        <v>4</v>
      </c>
      <c r="C39" s="73" t="s">
        <v>23</v>
      </c>
      <c r="D39" s="118">
        <v>42767</v>
      </c>
      <c r="E39" s="82"/>
    </row>
    <row r="40" spans="1:5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63</v>
      </c>
    </row>
    <row r="41" spans="1:5" ht="40.5" x14ac:dyDescent="0.2">
      <c r="A41" s="9" t="s">
        <v>42</v>
      </c>
      <c r="B41" s="8">
        <v>0</v>
      </c>
      <c r="C41" s="13" t="s">
        <v>100</v>
      </c>
      <c r="D41" s="120" t="s">
        <v>90</v>
      </c>
      <c r="E41" s="13" t="s">
        <v>101</v>
      </c>
    </row>
    <row r="42" spans="1:5" ht="27" x14ac:dyDescent="0.2">
      <c r="A42" s="5" t="s">
        <v>37</v>
      </c>
      <c r="B42" s="6">
        <v>12</v>
      </c>
      <c r="C42" s="14" t="s">
        <v>102</v>
      </c>
      <c r="D42" s="14"/>
      <c r="E42" s="14" t="s">
        <v>103</v>
      </c>
    </row>
    <row r="43" spans="1:5" ht="13.5" x14ac:dyDescent="0.2">
      <c r="A43" s="5"/>
      <c r="B43" s="6"/>
      <c r="C43" s="14"/>
      <c r="D43" s="14"/>
      <c r="E43" s="14"/>
    </row>
    <row r="44" spans="1:5" ht="13.5" x14ac:dyDescent="0.2">
      <c r="A44" s="5"/>
      <c r="B44" s="6"/>
      <c r="C44" s="14"/>
      <c r="D44" s="14"/>
      <c r="E44" s="14"/>
    </row>
    <row r="45" spans="1:5" ht="13.5" x14ac:dyDescent="0.2">
      <c r="A45" s="5"/>
      <c r="B45" s="6"/>
      <c r="C45" s="14"/>
      <c r="D45" s="14"/>
      <c r="E45" s="14"/>
    </row>
    <row r="46" spans="1:5" ht="13.5" x14ac:dyDescent="0.2">
      <c r="A46" s="5"/>
      <c r="B46" s="6"/>
      <c r="C46" s="14"/>
      <c r="D46" s="14"/>
      <c r="E46" s="14"/>
    </row>
    <row r="47" spans="1:5" ht="13.5" x14ac:dyDescent="0.2">
      <c r="A47" s="5"/>
      <c r="B47" s="6"/>
      <c r="C47" s="14"/>
      <c r="D47" s="14"/>
      <c r="E47" s="14"/>
    </row>
    <row r="48" spans="1:5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12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5</v>
      </c>
      <c r="C58" s="73" t="s">
        <v>23</v>
      </c>
      <c r="D58" s="118">
        <v>42774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63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6</v>
      </c>
      <c r="C77" s="73" t="s">
        <v>23</v>
      </c>
      <c r="D77" s="118">
        <v>42781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63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7</v>
      </c>
      <c r="C96" s="73" t="s">
        <v>23</v>
      </c>
      <c r="D96" s="118">
        <v>42788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63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8</v>
      </c>
      <c r="C115" s="73" t="s">
        <v>23</v>
      </c>
      <c r="D115" s="118">
        <v>42795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63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9</v>
      </c>
      <c r="C134" s="73" t="s">
        <v>23</v>
      </c>
      <c r="D134" s="118">
        <v>42802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63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10</v>
      </c>
      <c r="C153" s="73" t="s">
        <v>23</v>
      </c>
      <c r="D153" s="118">
        <v>42809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63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11</v>
      </c>
      <c r="C172" s="73" t="s">
        <v>23</v>
      </c>
      <c r="D172" s="118">
        <v>42816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63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12</v>
      </c>
      <c r="C191" s="73" t="s">
        <v>23</v>
      </c>
      <c r="D191" s="118">
        <v>42823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63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13</v>
      </c>
      <c r="C210" s="73" t="s">
        <v>23</v>
      </c>
      <c r="D210" s="118">
        <v>42830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63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14</v>
      </c>
      <c r="C229" s="73" t="s">
        <v>23</v>
      </c>
      <c r="D229" s="118">
        <v>42837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63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15</v>
      </c>
      <c r="C248" s="73" t="s">
        <v>23</v>
      </c>
      <c r="D248" s="118">
        <v>42844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63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16</v>
      </c>
      <c r="C267" s="73" t="s">
        <v>23</v>
      </c>
      <c r="D267" s="118">
        <v>42851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63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17</v>
      </c>
      <c r="C286" s="73" t="s">
        <v>23</v>
      </c>
      <c r="D286" s="118">
        <v>42858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63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4.25" x14ac:dyDescent="0.3">
      <c r="A304" s="78"/>
      <c r="B304" s="78"/>
      <c r="C304" s="78"/>
      <c r="D304" s="78"/>
      <c r="E304" s="78"/>
    </row>
    <row r="305" spans="1:1" x14ac:dyDescent="0.2">
      <c r="A305" s="84" t="s">
        <v>29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8 B1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9 B18 B37 B56 B75 B94 B113 B132 B151 B170 B189 B208 B227 B246 B265 B284 B303">
      <formula1>0</formula1>
      <formula2>NbPerWeek * NbQuartPer</formula2>
    </dataValidation>
    <dataValidation type="list" allowBlank="1" showInputMessage="1" showErrorMessage="1" sqref="A3:A8 A13:A17 A22:A36 A41:A55 A60:A74 A79:A93 A98:A112 A117:A131 A136:A150 A155:A169 A174:A188 A193:A207 A212:A226 A231:A245 A250:A264 A269:A283 A288:A302">
      <formula1>lstTasks</formula1>
    </dataValidation>
  </dataValidations>
  <hyperlinks>
    <hyperlink ref="D5" r:id="rId1" display="UML-UseAc"/>
    <hyperlink ref="D6" r:id="rId2" display="Brainstorm.mm (Freeplane)"/>
    <hyperlink ref="D8" r:id="rId3"/>
    <hyperlink ref="D13" r:id="rId4"/>
    <hyperlink ref="D14" r:id="rId5"/>
    <hyperlink ref="D15" r:id="rId6"/>
    <hyperlink ref="D16" r:id="rId7"/>
    <hyperlink ref="D22" r:id="rId8"/>
    <hyperlink ref="D23" r:id="rId9"/>
    <hyperlink ref="D24" r:id="rId10"/>
    <hyperlink ref="D41" r:id="rId11"/>
  </hyperlinks>
  <printOptions horizontalCentered="1" verticalCentered="1"/>
  <pageMargins left="0.25" right="0.25" top="0.75" bottom="0.75" header="0.3" footer="0.3"/>
  <pageSetup paperSize="9" scale="59" fitToHeight="0" orientation="portrait" cellComments="atEnd" r:id="rId12"/>
  <headerFooter>
    <oddHeader>&amp;L&amp;"ETML L,Normal"&amp;24ETML</oddHeader>
    <oddFooter>&amp;C&amp;F&amp;L&amp;D</oddFooter>
  </headerFooter>
  <drawing r:id="rId13"/>
  <legacyDrawing r:id="rId14"/>
  <controls>
    <mc:AlternateContent xmlns:mc="http://schemas.openxmlformats.org/markup-compatibility/2006">
      <mc:Choice Requires="x14">
        <control shapeId="41985" r:id="rId15" name="btnImportRealisation">
          <controlPr defaultSize="0" autoLine="0" r:id="rId16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15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topLeftCell="A19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70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2017-02-01T10:27:23Z</dcterms:modified>
  <cp:contentStatus>Version 8.0</cp:contentStatus>
</cp:coreProperties>
</file>