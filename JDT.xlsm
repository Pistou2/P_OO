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erkya\Desktop\P_OO\"/>
    </mc:Choice>
  </mc:AlternateContent>
  <bookViews>
    <workbookView xWindow="0" yWindow="0" windowWidth="28800" windowHeight="12300" activeTab="6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Diagramme!$B$3:$B$34</definedName>
    <definedName name="lstTasks">Donnees!$C$20:$C$45</definedName>
    <definedName name="NbLessons">Diagramme!$C$3:$C$34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Diagramme!$A$1:$GZ$37</definedName>
    <definedName name="_xlnm.Print_Area" localSheetId="0">Donnees!$A$1:$G$54</definedName>
    <definedName name="_xlnm.Print_Area" localSheetId="6">JNLTRAV!$A$1:$E$323</definedName>
    <definedName name="_xlnm.Print_Area" localSheetId="7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3" i="157" l="1"/>
  <c r="B31" i="157"/>
  <c r="B29" i="157"/>
  <c r="B27" i="157"/>
  <c r="B25" i="157"/>
  <c r="B23" i="157"/>
  <c r="B21" i="157"/>
  <c r="B19" i="157"/>
  <c r="B17" i="157"/>
  <c r="B15" i="157"/>
  <c r="B13" i="157"/>
  <c r="B11" i="157"/>
  <c r="B9" i="157"/>
  <c r="B7" i="157"/>
  <c r="B5" i="157"/>
  <c r="C36" i="157"/>
  <c r="C35" i="157"/>
  <c r="B237" i="156" l="1"/>
  <c r="B223" i="156"/>
  <c r="B209" i="156"/>
  <c r="B195" i="156"/>
  <c r="B181" i="156"/>
  <c r="B167" i="156"/>
  <c r="B153" i="156"/>
  <c r="B139" i="156"/>
  <c r="B125" i="156"/>
  <c r="B111" i="156"/>
  <c r="B97" i="156"/>
  <c r="B83" i="156"/>
  <c r="B69" i="156"/>
  <c r="B55" i="156"/>
  <c r="B41" i="156"/>
  <c r="B27" i="156"/>
  <c r="B13" i="156"/>
  <c r="B322" i="155"/>
  <c r="B303" i="155"/>
  <c r="B284" i="155"/>
  <c r="B265" i="155"/>
  <c r="B246" i="155"/>
  <c r="B227" i="155"/>
  <c r="B208" i="155"/>
  <c r="B189" i="155"/>
  <c r="B170" i="155"/>
  <c r="B151" i="155"/>
  <c r="B132" i="155"/>
  <c r="B113" i="155"/>
  <c r="B94" i="155"/>
  <c r="B75" i="155"/>
  <c r="B56" i="155"/>
  <c r="B37" i="155"/>
  <c r="B18" i="155"/>
  <c r="B18" i="154" l="1"/>
  <c r="B13" i="11"/>
</calcChain>
</file>

<file path=xl/sharedStrings.xml><?xml version="1.0" encoding="utf-8"?>
<sst xmlns="http://schemas.openxmlformats.org/spreadsheetml/2006/main" count="395" uniqueCount="76">
  <si>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</si>
  <si>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</si>
  <si>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</si>
  <si>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</si>
  <si>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</si>
  <si>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</si>
  <si>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</si>
  <si>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</si>
  <si>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</si>
  <si>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</si>
  <si>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</si>
  <si>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</si>
  <si>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</si>
  <si>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</si>
  <si>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</si>
  <si>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</si>
  <si>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</si>
  <si>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</si>
  <si>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</si>
  <si>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</si>
  <si>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</si>
  <si>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</si>
  <si>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</si>
  <si>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</si>
  <si>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P_OO</t>
  </si>
  <si>
    <t>Yann Merk</t>
  </si>
  <si>
    <t>Mid 2</t>
  </si>
  <si>
    <t>ETML</t>
  </si>
  <si>
    <t>Max. 12</t>
  </si>
  <si>
    <t>STOP</t>
  </si>
  <si>
    <t>Arrivée tardive du aux bus</t>
  </si>
  <si>
    <t>Doc : Planification initiale</t>
  </si>
  <si>
    <t>Doc : Schéma UML</t>
  </si>
  <si>
    <t>Doc : MCD</t>
  </si>
  <si>
    <t>C# : Lien BD + Scripts</t>
  </si>
  <si>
    <t>Doc : Rapport de Projet (?latex?)</t>
  </si>
  <si>
    <t>C# : Tests unitaires</t>
  </si>
  <si>
    <t>C# : Tests</t>
  </si>
  <si>
    <t>C# : Exploration K:</t>
  </si>
  <si>
    <t>C# : Interface</t>
  </si>
  <si>
    <t>C# : Exploration etml.ch</t>
  </si>
  <si>
    <t>C# : Connection + Exploration educanet2</t>
  </si>
  <si>
    <t>?? : Installateur</t>
  </si>
  <si>
    <t>BD : MLD - MPD + Implémentation</t>
  </si>
  <si>
    <t>C#: Révision code + Doc doxygen</t>
  </si>
  <si>
    <t>Non Définit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</si>
  <si>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</si>
  <si>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</si>
  <si>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</si>
  <si>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</si>
  <si>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</si>
  <si>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</si>
  <si>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</si>
  <si>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</si>
  <si>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</si>
  <si>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</si>
  <si>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</si>
  <si>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</si>
  <si>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</si>
  <si>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</si>
  <si>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</si>
  <si>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</si>
  <si>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</si>
  <si>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Création du diagram d'User Act</t>
  </si>
  <si>
    <t>Autre : Brainstorm</t>
  </si>
  <si>
    <t>Commit</t>
  </si>
  <si>
    <t>7ea658</t>
  </si>
  <si>
    <t>7a411d</t>
  </si>
  <si>
    <t>UML-UseAct.vsdx</t>
  </si>
  <si>
    <t>JDT.xslm</t>
  </si>
  <si>
    <t>Fait un petit Brainstorm pour situer les fonctionnalités voulues</t>
  </si>
  <si>
    <t>Brainstorm.mm (fait avec Freeplane)</t>
  </si>
  <si>
    <t>Doc : Planif / JDT</t>
  </si>
  <si>
    <t>Planification initiale</t>
  </si>
  <si>
    <t>Adapté le JDT pour permettre un suivit des commit + fait quelques petits ajustements</t>
  </si>
  <si>
    <t>f921e8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</si>
</sst>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164" fontId="9" fillId="13" borderId="12" xfId="0" applyNumberFormat="1" applyFont="1" applyFill="1" applyBorder="1" applyAlignment="1" applyProtection="1">
      <alignment horizontal="left" vertical="center"/>
      <protection locked="0"/>
    </xf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1</xdr:row>
          <xdr:rowOff>47625</xdr:rowOff>
        </xdr:from>
        <xdr:to>
          <xdr:col>7</xdr:col>
          <xdr:colOff>523875</xdr:colOff>
          <xdr:row>3</xdr:row>
          <xdr:rowOff>161925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7" Type="http://schemas.openxmlformats.org/officeDocument/2006/relationships/image" Target="../media/image6.emf"/><Relationship Id="rId2" Type="http://schemas.openxmlformats.org/officeDocument/2006/relationships/hyperlink" Target="Brainstorm.mm" TargetMode="External"/><Relationship Id="rId1" Type="http://schemas.openxmlformats.org/officeDocument/2006/relationships/hyperlink" Target="UML-UseAct.vsdx" TargetMode="External"/><Relationship Id="rId6" Type="http://schemas.openxmlformats.org/officeDocument/2006/relationships/control" Target="../activeX/activeX6.xml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16" zoomScaleNormal="100" workbookViewId="0">
      <selection activeCell="C22" sqref="C22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42865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3" t="s">
        <v>19</v>
      </c>
      <c r="C19" s="114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72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32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33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35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43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34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38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40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41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39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36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37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7" t="s">
        <v>44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42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64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45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GY36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207" ht="13.5" thickBot="1" x14ac:dyDescent="0.25">
      <c r="B1" s="87"/>
      <c r="C1" s="87"/>
    </row>
    <row r="2" spans="1:207" ht="42.75" customHeight="1" thickBot="1" x14ac:dyDescent="0.25">
      <c r="A2" s="88"/>
      <c r="B2" s="45" t="s">
        <v>5</v>
      </c>
      <c r="C2" s="29" t="s">
        <v>18</v>
      </c>
      <c r="D2" s="115" t="s">
        <v>46</v>
      </c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7"/>
      <c r="P2" s="115" t="s">
        <v>47</v>
      </c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7"/>
      <c r="AB2" s="115" t="s">
        <v>48</v>
      </c>
      <c r="AC2" s="116"/>
      <c r="AD2" s="116"/>
      <c r="AE2" s="116"/>
      <c r="AF2" s="116"/>
      <c r="AG2" s="116"/>
      <c r="AH2" s="116"/>
      <c r="AI2" s="116"/>
      <c r="AJ2" s="116"/>
      <c r="AK2" s="116"/>
      <c r="AL2" s="116"/>
      <c r="AM2" s="117"/>
      <c r="AN2" s="115" t="s">
        <v>49</v>
      </c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7"/>
      <c r="AZ2" s="115" t="s">
        <v>50</v>
      </c>
      <c r="BA2" s="116"/>
      <c r="BB2" s="116"/>
      <c r="BC2" s="116"/>
      <c r="BD2" s="116"/>
      <c r="BE2" s="116"/>
      <c r="BF2" s="116"/>
      <c r="BG2" s="116"/>
      <c r="BH2" s="116"/>
      <c r="BI2" s="116"/>
      <c r="BJ2" s="116"/>
      <c r="BK2" s="117"/>
      <c r="BL2" s="115" t="s">
        <v>51</v>
      </c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7"/>
      <c r="BX2" s="115" t="s">
        <v>52</v>
      </c>
      <c r="BY2" s="116"/>
      <c r="BZ2" s="116"/>
      <c r="CA2" s="116"/>
      <c r="CB2" s="116"/>
      <c r="CC2" s="116"/>
      <c r="CD2" s="116"/>
      <c r="CE2" s="116"/>
      <c r="CF2" s="116"/>
      <c r="CG2" s="116"/>
      <c r="CH2" s="116"/>
      <c r="CI2" s="117"/>
      <c r="CJ2" s="115" t="s">
        <v>53</v>
      </c>
      <c r="CK2" s="116"/>
      <c r="CL2" s="116"/>
      <c r="CM2" s="116"/>
      <c r="CN2" s="116"/>
      <c r="CO2" s="116"/>
      <c r="CP2" s="116"/>
      <c r="CQ2" s="116"/>
      <c r="CR2" s="116"/>
      <c r="CS2" s="116"/>
      <c r="CT2" s="116"/>
      <c r="CU2" s="117"/>
      <c r="CV2" s="115" t="s">
        <v>54</v>
      </c>
      <c r="CW2" s="116"/>
      <c r="CX2" s="116"/>
      <c r="CY2" s="116"/>
      <c r="CZ2" s="116"/>
      <c r="DA2" s="116"/>
      <c r="DB2" s="116"/>
      <c r="DC2" s="116"/>
      <c r="DD2" s="116"/>
      <c r="DE2" s="116"/>
      <c r="DF2" s="116"/>
      <c r="DG2" s="117"/>
      <c r="DH2" s="115" t="s">
        <v>55</v>
      </c>
      <c r="DI2" s="116"/>
      <c r="DJ2" s="116"/>
      <c r="DK2" s="116"/>
      <c r="DL2" s="116"/>
      <c r="DM2" s="116"/>
      <c r="DN2" s="116"/>
      <c r="DO2" s="116"/>
      <c r="DP2" s="116"/>
      <c r="DQ2" s="116"/>
      <c r="DR2" s="116"/>
      <c r="DS2" s="117"/>
      <c r="DT2" s="115" t="s">
        <v>56</v>
      </c>
      <c r="DU2" s="116"/>
      <c r="DV2" s="116"/>
      <c r="DW2" s="116"/>
      <c r="DX2" s="116"/>
      <c r="DY2" s="116"/>
      <c r="DZ2" s="116"/>
      <c r="EA2" s="116"/>
      <c r="EB2" s="116"/>
      <c r="EC2" s="116"/>
      <c r="ED2" s="116"/>
      <c r="EE2" s="117"/>
      <c r="EF2" s="115" t="s">
        <v>57</v>
      </c>
      <c r="EG2" s="116"/>
      <c r="EH2" s="116"/>
      <c r="EI2" s="116"/>
      <c r="EJ2" s="116"/>
      <c r="EK2" s="116"/>
      <c r="EL2" s="116"/>
      <c r="EM2" s="116"/>
      <c r="EN2" s="116"/>
      <c r="EO2" s="116"/>
      <c r="EP2" s="116"/>
      <c r="EQ2" s="117"/>
      <c r="ER2" s="115" t="s">
        <v>58</v>
      </c>
      <c r="ES2" s="116"/>
      <c r="ET2" s="116"/>
      <c r="EU2" s="116"/>
      <c r="EV2" s="116"/>
      <c r="EW2" s="116"/>
      <c r="EX2" s="116"/>
      <c r="EY2" s="116"/>
      <c r="EZ2" s="116"/>
      <c r="FA2" s="116"/>
      <c r="FB2" s="116"/>
      <c r="FC2" s="117"/>
      <c r="FD2" s="115" t="s">
        <v>59</v>
      </c>
      <c r="FE2" s="116"/>
      <c r="FF2" s="116"/>
      <c r="FG2" s="116"/>
      <c r="FH2" s="116"/>
      <c r="FI2" s="116"/>
      <c r="FJ2" s="116"/>
      <c r="FK2" s="116"/>
      <c r="FL2" s="116"/>
      <c r="FM2" s="116"/>
      <c r="FN2" s="116"/>
      <c r="FO2" s="117"/>
      <c r="FP2" s="115" t="s">
        <v>60</v>
      </c>
      <c r="FQ2" s="116"/>
      <c r="FR2" s="116"/>
      <c r="FS2" s="116"/>
      <c r="FT2" s="116"/>
      <c r="FU2" s="116"/>
      <c r="FV2" s="116"/>
      <c r="FW2" s="116"/>
      <c r="FX2" s="116"/>
      <c r="FY2" s="116"/>
      <c r="FZ2" s="116"/>
      <c r="GA2" s="117"/>
      <c r="GB2" s="115" t="s">
        <v>61</v>
      </c>
      <c r="GC2" s="116"/>
      <c r="GD2" s="116"/>
      <c r="GE2" s="116"/>
      <c r="GF2" s="116"/>
      <c r="GG2" s="116"/>
      <c r="GH2" s="116"/>
      <c r="GI2" s="116"/>
      <c r="GJ2" s="116"/>
      <c r="GK2" s="116"/>
      <c r="GL2" s="116"/>
      <c r="GM2" s="117"/>
      <c r="GN2" s="115" t="s">
        <v>62</v>
      </c>
      <c r="GO2" s="116"/>
      <c r="GP2" s="116"/>
      <c r="GQ2" s="116"/>
      <c r="GR2" s="116"/>
      <c r="GS2" s="116"/>
      <c r="GT2" s="116"/>
      <c r="GU2" s="116"/>
      <c r="GV2" s="116"/>
      <c r="GW2" s="116"/>
      <c r="GX2" s="116"/>
      <c r="GY2" s="117"/>
    </row>
    <row r="3" spans="1:207" ht="19.5" customHeight="1" x14ac:dyDescent="0.2">
      <c r="A3" s="88"/>
      <c r="B3" s="120" t="s">
        <v>21</v>
      </c>
      <c r="C3" s="30">
        <v>2</v>
      </c>
      <c r="D3" s="108"/>
      <c r="E3" s="109"/>
      <c r="F3" s="91"/>
      <c r="G3" s="92"/>
      <c r="H3" s="90"/>
      <c r="I3" s="91"/>
      <c r="J3" s="92"/>
      <c r="K3" s="90"/>
      <c r="L3" s="91"/>
      <c r="M3" s="92"/>
      <c r="N3" s="90"/>
      <c r="O3" s="93"/>
      <c r="P3" s="89"/>
      <c r="Q3" s="90"/>
      <c r="R3" s="91"/>
      <c r="S3" s="92"/>
      <c r="T3" s="90"/>
      <c r="U3" s="91"/>
      <c r="V3" s="92"/>
      <c r="W3" s="90"/>
      <c r="X3" s="91"/>
      <c r="Y3" s="92"/>
      <c r="Z3" s="90"/>
      <c r="AA3" s="93"/>
      <c r="AB3" s="89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3"/>
      <c r="AN3" s="89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3"/>
      <c r="AZ3" s="89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3"/>
      <c r="BL3" s="89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3"/>
      <c r="BX3" s="89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3"/>
      <c r="CJ3" s="89"/>
      <c r="CK3" s="90"/>
      <c r="CL3" s="91"/>
      <c r="CM3" s="92"/>
      <c r="CN3" s="90"/>
      <c r="CO3" s="91"/>
      <c r="CP3" s="92"/>
      <c r="CQ3" s="90"/>
      <c r="CR3" s="91"/>
      <c r="CS3" s="92"/>
      <c r="CT3" s="90"/>
      <c r="CU3" s="93"/>
      <c r="CV3" s="89"/>
      <c r="CW3" s="90"/>
      <c r="CX3" s="91"/>
      <c r="CY3" s="92"/>
      <c r="CZ3" s="90"/>
      <c r="DA3" s="91"/>
      <c r="DB3" s="92"/>
      <c r="DC3" s="90"/>
      <c r="DD3" s="91"/>
      <c r="DE3" s="92"/>
      <c r="DF3" s="90"/>
      <c r="DG3" s="93"/>
      <c r="DH3" s="89"/>
      <c r="DI3" s="90"/>
      <c r="DJ3" s="91"/>
      <c r="DK3" s="92"/>
      <c r="DL3" s="90"/>
      <c r="DM3" s="91"/>
      <c r="DN3" s="92"/>
      <c r="DO3" s="90"/>
      <c r="DP3" s="91"/>
      <c r="DQ3" s="92"/>
      <c r="DR3" s="90"/>
      <c r="DS3" s="93"/>
      <c r="DT3" s="89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3"/>
      <c r="EF3" s="89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3"/>
      <c r="ER3" s="89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3"/>
      <c r="FD3" s="89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3"/>
      <c r="FP3" s="89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3"/>
      <c r="GN3" s="89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3"/>
    </row>
    <row r="4" spans="1:207" ht="19.5" customHeight="1" thickBot="1" x14ac:dyDescent="0.25">
      <c r="A4" s="88"/>
      <c r="B4" s="121"/>
      <c r="C4" s="44">
        <v>2</v>
      </c>
      <c r="D4" s="125"/>
      <c r="E4" s="126"/>
      <c r="F4" s="96"/>
      <c r="G4" s="97"/>
      <c r="H4" s="95"/>
      <c r="I4" s="96"/>
      <c r="J4" s="97"/>
      <c r="K4" s="95"/>
      <c r="L4" s="96"/>
      <c r="M4" s="97"/>
      <c r="N4" s="95"/>
      <c r="O4" s="98"/>
      <c r="P4" s="94"/>
      <c r="Q4" s="95"/>
      <c r="R4" s="96"/>
      <c r="S4" s="97"/>
      <c r="T4" s="95"/>
      <c r="U4" s="96"/>
      <c r="V4" s="97"/>
      <c r="W4" s="95"/>
      <c r="X4" s="96"/>
      <c r="Y4" s="97"/>
      <c r="Z4" s="95"/>
      <c r="AA4" s="98"/>
      <c r="AB4" s="94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8"/>
      <c r="AN4" s="94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8"/>
      <c r="AZ4" s="94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8"/>
      <c r="BL4" s="94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8"/>
      <c r="BX4" s="94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8"/>
      <c r="CJ4" s="94"/>
      <c r="CK4" s="95"/>
      <c r="CL4" s="96"/>
      <c r="CM4" s="97"/>
      <c r="CN4" s="95"/>
      <c r="CO4" s="96"/>
      <c r="CP4" s="97"/>
      <c r="CQ4" s="95"/>
      <c r="CR4" s="96"/>
      <c r="CS4" s="97"/>
      <c r="CT4" s="95"/>
      <c r="CU4" s="98"/>
      <c r="CV4" s="94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8"/>
      <c r="DH4" s="94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8"/>
      <c r="DT4" s="94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8"/>
      <c r="EF4" s="94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8"/>
      <c r="ER4" s="94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8"/>
      <c r="FD4" s="94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8"/>
      <c r="FP4" s="94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8"/>
      <c r="GN4" s="94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8"/>
    </row>
    <row r="5" spans="1:207" ht="19.5" customHeight="1" x14ac:dyDescent="0.2">
      <c r="B5" s="122" t="str">
        <f>Donnees!$C$21</f>
        <v>Doc : Planif / JDT</v>
      </c>
      <c r="C5" s="99">
        <v>3</v>
      </c>
      <c r="D5" s="89"/>
      <c r="E5" s="90"/>
      <c r="F5" s="110"/>
      <c r="G5" s="111"/>
      <c r="H5" s="109"/>
      <c r="I5" s="91"/>
      <c r="J5" s="92"/>
      <c r="K5" s="90"/>
      <c r="L5" s="91"/>
      <c r="M5" s="92"/>
      <c r="N5" s="90"/>
      <c r="O5" s="93"/>
      <c r="P5" s="89"/>
      <c r="Q5" s="90"/>
      <c r="R5" s="91"/>
      <c r="S5" s="92"/>
      <c r="T5" s="90"/>
      <c r="U5" s="91"/>
      <c r="V5" s="92"/>
      <c r="W5" s="90"/>
      <c r="X5" s="91"/>
      <c r="Y5" s="92"/>
      <c r="Z5" s="90"/>
      <c r="AA5" s="93"/>
      <c r="AB5" s="89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3"/>
      <c r="AN5" s="89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3"/>
      <c r="AZ5" s="89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3"/>
      <c r="BL5" s="89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3"/>
      <c r="BX5" s="89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3"/>
      <c r="CJ5" s="89"/>
      <c r="CK5" s="90"/>
      <c r="CL5" s="91"/>
      <c r="CM5" s="92"/>
      <c r="CN5" s="90"/>
      <c r="CO5" s="91"/>
      <c r="CP5" s="92"/>
      <c r="CQ5" s="90"/>
      <c r="CR5" s="91"/>
      <c r="CS5" s="92"/>
      <c r="CT5" s="90"/>
      <c r="CU5" s="93"/>
      <c r="CV5" s="89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3"/>
      <c r="DH5" s="89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3"/>
      <c r="DT5" s="89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3"/>
      <c r="EF5" s="89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3"/>
      <c r="ER5" s="89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3"/>
      <c r="FD5" s="89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3"/>
      <c r="FP5" s="89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3"/>
      <c r="GN5" s="89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3"/>
    </row>
    <row r="6" spans="1:207" ht="19.5" customHeight="1" thickBot="1" x14ac:dyDescent="0.25">
      <c r="B6" s="119"/>
      <c r="C6" s="100">
        <v>3</v>
      </c>
      <c r="D6" s="94"/>
      <c r="E6" s="95"/>
      <c r="F6" s="127"/>
      <c r="G6" s="128"/>
      <c r="H6" s="126"/>
      <c r="I6" s="96"/>
      <c r="J6" s="97"/>
      <c r="K6" s="95"/>
      <c r="L6" s="96"/>
      <c r="M6" s="97"/>
      <c r="N6" s="95"/>
      <c r="O6" s="98"/>
      <c r="P6" s="94"/>
      <c r="Q6" s="95"/>
      <c r="R6" s="96"/>
      <c r="S6" s="97"/>
      <c r="T6" s="95"/>
      <c r="U6" s="96"/>
      <c r="V6" s="97"/>
      <c r="W6" s="95"/>
      <c r="X6" s="96"/>
      <c r="Y6" s="97"/>
      <c r="Z6" s="95"/>
      <c r="AA6" s="98"/>
      <c r="AB6" s="94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8"/>
      <c r="AN6" s="94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8"/>
      <c r="AZ6" s="94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8"/>
      <c r="BL6" s="94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8"/>
      <c r="BX6" s="94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8"/>
      <c r="CJ6" s="94"/>
      <c r="CK6" s="95"/>
      <c r="CL6" s="96"/>
      <c r="CM6" s="97"/>
      <c r="CN6" s="95"/>
      <c r="CO6" s="96"/>
      <c r="CP6" s="97"/>
      <c r="CQ6" s="95"/>
      <c r="CR6" s="96"/>
      <c r="CS6" s="97"/>
      <c r="CT6" s="95"/>
      <c r="CU6" s="98"/>
      <c r="CV6" s="94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8"/>
      <c r="DH6" s="94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8"/>
      <c r="DT6" s="94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8"/>
      <c r="EF6" s="94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8"/>
      <c r="ER6" s="94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8"/>
      <c r="FD6" s="94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8"/>
      <c r="FP6" s="94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8"/>
      <c r="GN6" s="94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8"/>
    </row>
    <row r="7" spans="1:207" ht="19.5" customHeight="1" x14ac:dyDescent="0.2">
      <c r="B7" s="118" t="str">
        <f>Donnees!$C$22</f>
        <v>Doc : Schéma UML</v>
      </c>
      <c r="C7" s="99">
        <v>10</v>
      </c>
      <c r="D7" s="89"/>
      <c r="E7" s="90"/>
      <c r="F7" s="91"/>
      <c r="G7" s="92"/>
      <c r="H7" s="90"/>
      <c r="I7" s="110"/>
      <c r="J7" s="111"/>
      <c r="K7" s="109"/>
      <c r="L7" s="110"/>
      <c r="M7" s="111"/>
      <c r="N7" s="109"/>
      <c r="O7" s="112"/>
      <c r="P7" s="108"/>
      <c r="Q7" s="109"/>
      <c r="R7" s="110"/>
      <c r="S7" s="92"/>
      <c r="T7" s="90"/>
      <c r="U7" s="91"/>
      <c r="V7" s="92"/>
      <c r="W7" s="90"/>
      <c r="X7" s="91"/>
      <c r="Y7" s="92"/>
      <c r="Z7" s="90"/>
      <c r="AA7" s="93"/>
      <c r="AB7" s="89"/>
      <c r="AC7" s="90"/>
      <c r="AD7" s="91"/>
      <c r="AE7" s="92"/>
      <c r="AF7" s="90"/>
      <c r="AG7" s="91"/>
      <c r="AH7" s="92"/>
      <c r="AI7" s="90"/>
      <c r="AJ7" s="91"/>
      <c r="AK7" s="92"/>
      <c r="AL7" s="90"/>
      <c r="AM7" s="93"/>
      <c r="AN7" s="89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3"/>
      <c r="AZ7" s="89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3"/>
      <c r="BL7" s="89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3"/>
      <c r="BX7" s="89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3"/>
      <c r="CJ7" s="89"/>
      <c r="CK7" s="90"/>
      <c r="CL7" s="91"/>
      <c r="CM7" s="92"/>
      <c r="CN7" s="90"/>
      <c r="CO7" s="91"/>
      <c r="CP7" s="92"/>
      <c r="CQ7" s="90"/>
      <c r="CR7" s="91"/>
      <c r="CS7" s="92"/>
      <c r="CT7" s="90"/>
      <c r="CU7" s="93"/>
      <c r="CV7" s="89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3"/>
      <c r="DH7" s="89"/>
      <c r="DI7" s="90"/>
      <c r="DJ7" s="91"/>
      <c r="DK7" s="92"/>
      <c r="DL7" s="90"/>
      <c r="DM7" s="91"/>
      <c r="DN7" s="92"/>
      <c r="DO7" s="90"/>
      <c r="DP7" s="91"/>
      <c r="DQ7" s="92"/>
      <c r="DR7" s="90"/>
      <c r="DS7" s="93"/>
      <c r="DT7" s="89"/>
      <c r="DU7" s="90"/>
      <c r="DV7" s="91"/>
      <c r="DW7" s="92"/>
      <c r="DX7" s="90"/>
      <c r="DY7" s="91"/>
      <c r="DZ7" s="92"/>
      <c r="EA7" s="90"/>
      <c r="EB7" s="91"/>
      <c r="EC7" s="92"/>
      <c r="ED7" s="90"/>
      <c r="EE7" s="93"/>
      <c r="EF7" s="89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3"/>
      <c r="ER7" s="89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3"/>
      <c r="FD7" s="89"/>
      <c r="FE7" s="90"/>
      <c r="FF7" s="91"/>
      <c r="FG7" s="92"/>
      <c r="FH7" s="90"/>
      <c r="FI7" s="91"/>
      <c r="FJ7" s="92"/>
      <c r="FK7" s="90"/>
      <c r="FL7" s="91"/>
      <c r="FM7" s="92"/>
      <c r="FN7" s="90"/>
      <c r="FO7" s="93"/>
      <c r="FP7" s="89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3"/>
      <c r="GN7" s="89"/>
      <c r="GO7" s="90"/>
      <c r="GP7" s="91"/>
      <c r="GQ7" s="92"/>
      <c r="GR7" s="90"/>
      <c r="GS7" s="91"/>
      <c r="GT7" s="92"/>
      <c r="GU7" s="90"/>
      <c r="GV7" s="91"/>
      <c r="GW7" s="92"/>
      <c r="GX7" s="90"/>
      <c r="GY7" s="93"/>
    </row>
    <row r="8" spans="1:207" ht="19.5" customHeight="1" thickBot="1" x14ac:dyDescent="0.25">
      <c r="B8" s="119"/>
      <c r="C8" s="100">
        <v>1</v>
      </c>
      <c r="D8" s="94"/>
      <c r="E8" s="95"/>
      <c r="F8" s="96"/>
      <c r="G8" s="97"/>
      <c r="H8" s="95"/>
      <c r="I8" s="127"/>
      <c r="J8" s="97"/>
      <c r="K8" s="95"/>
      <c r="L8" s="96"/>
      <c r="M8" s="97"/>
      <c r="N8" s="95"/>
      <c r="O8" s="98"/>
      <c r="P8" s="94"/>
      <c r="Q8" s="95"/>
      <c r="R8" s="96"/>
      <c r="S8" s="97"/>
      <c r="T8" s="95"/>
      <c r="U8" s="96"/>
      <c r="V8" s="97"/>
      <c r="W8" s="95"/>
      <c r="X8" s="96"/>
      <c r="Y8" s="97"/>
      <c r="Z8" s="95"/>
      <c r="AA8" s="98"/>
      <c r="AB8" s="94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8"/>
      <c r="AN8" s="94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8"/>
      <c r="AZ8" s="94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8"/>
      <c r="BL8" s="94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8"/>
      <c r="BX8" s="94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8"/>
      <c r="CJ8" s="94"/>
      <c r="CK8" s="95"/>
      <c r="CL8" s="96"/>
      <c r="CM8" s="97"/>
      <c r="CN8" s="95"/>
      <c r="CO8" s="96"/>
      <c r="CP8" s="97"/>
      <c r="CQ8" s="95"/>
      <c r="CR8" s="96"/>
      <c r="CS8" s="97"/>
      <c r="CT8" s="95"/>
      <c r="CU8" s="98"/>
      <c r="CV8" s="94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8"/>
      <c r="DH8" s="94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8"/>
      <c r="DT8" s="94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8"/>
      <c r="EF8" s="94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8"/>
      <c r="ER8" s="94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8"/>
      <c r="FD8" s="94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8"/>
      <c r="FP8" s="94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8"/>
      <c r="GN8" s="94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8"/>
    </row>
    <row r="9" spans="1:207" ht="19.5" customHeight="1" x14ac:dyDescent="0.2">
      <c r="B9" s="118" t="str">
        <f>Donnees!$C$23</f>
        <v>Doc : MCD</v>
      </c>
      <c r="C9" s="99">
        <v>3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3"/>
      <c r="P9" s="89"/>
      <c r="Q9" s="90"/>
      <c r="R9" s="91"/>
      <c r="S9" s="111"/>
      <c r="T9" s="109"/>
      <c r="U9" s="110"/>
      <c r="V9" s="92"/>
      <c r="W9" s="90"/>
      <c r="X9" s="91"/>
      <c r="Y9" s="92"/>
      <c r="Z9" s="90"/>
      <c r="AA9" s="93"/>
      <c r="AB9" s="89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3"/>
      <c r="AN9" s="89"/>
      <c r="AO9" s="90"/>
      <c r="AP9" s="91"/>
      <c r="AQ9" s="92"/>
      <c r="AR9" s="90"/>
      <c r="AS9" s="91"/>
      <c r="AT9" s="92"/>
      <c r="AU9" s="90"/>
      <c r="AV9" s="91"/>
      <c r="AW9" s="92"/>
      <c r="AX9" s="90"/>
      <c r="AY9" s="93"/>
      <c r="AZ9" s="89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3"/>
      <c r="BL9" s="89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3"/>
      <c r="BX9" s="89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3"/>
      <c r="CJ9" s="89"/>
      <c r="CK9" s="90"/>
      <c r="CL9" s="91"/>
      <c r="CM9" s="92"/>
      <c r="CN9" s="90"/>
      <c r="CO9" s="91"/>
      <c r="CP9" s="92"/>
      <c r="CQ9" s="90"/>
      <c r="CR9" s="91"/>
      <c r="CS9" s="92"/>
      <c r="CT9" s="90"/>
      <c r="CU9" s="93"/>
      <c r="CV9" s="89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3"/>
      <c r="DH9" s="89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3"/>
      <c r="DT9" s="89"/>
      <c r="DU9" s="90"/>
      <c r="DV9" s="91"/>
      <c r="DW9" s="92"/>
      <c r="DX9" s="90"/>
      <c r="DY9" s="91"/>
      <c r="DZ9" s="92"/>
      <c r="EA9" s="90"/>
      <c r="EB9" s="91"/>
      <c r="EC9" s="92"/>
      <c r="ED9" s="90"/>
      <c r="EE9" s="93"/>
      <c r="EF9" s="89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3"/>
      <c r="ER9" s="89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3"/>
      <c r="FD9" s="89"/>
      <c r="FE9" s="90"/>
      <c r="FF9" s="91"/>
      <c r="FG9" s="92"/>
      <c r="FH9" s="90"/>
      <c r="FI9" s="91"/>
      <c r="FJ9" s="92"/>
      <c r="FK9" s="90"/>
      <c r="FL9" s="91"/>
      <c r="FM9" s="92"/>
      <c r="FN9" s="90"/>
      <c r="FO9" s="93"/>
      <c r="FP9" s="89"/>
      <c r="FQ9" s="90"/>
      <c r="FR9" s="91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3"/>
      <c r="GN9" s="89"/>
      <c r="GO9" s="90"/>
      <c r="GP9" s="91"/>
      <c r="GQ9" s="92"/>
      <c r="GR9" s="90"/>
      <c r="GS9" s="91"/>
      <c r="GT9" s="92"/>
      <c r="GU9" s="90"/>
      <c r="GV9" s="91"/>
      <c r="GW9" s="92"/>
      <c r="GX9" s="90"/>
      <c r="GY9" s="93"/>
    </row>
    <row r="10" spans="1:207" ht="19.5" customHeight="1" thickBot="1" x14ac:dyDescent="0.25">
      <c r="B10" s="119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8"/>
      <c r="P10" s="94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8"/>
      <c r="AB10" s="94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8"/>
      <c r="AN10" s="94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8"/>
      <c r="AZ10" s="94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8"/>
      <c r="BL10" s="94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8"/>
      <c r="BX10" s="94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8"/>
      <c r="CJ10" s="94"/>
      <c r="CK10" s="95"/>
      <c r="CL10" s="96"/>
      <c r="CM10" s="97"/>
      <c r="CN10" s="95"/>
      <c r="CO10" s="96"/>
      <c r="CP10" s="97"/>
      <c r="CQ10" s="95"/>
      <c r="CR10" s="96"/>
      <c r="CS10" s="97"/>
      <c r="CT10" s="95"/>
      <c r="CU10" s="98"/>
      <c r="CV10" s="94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8"/>
      <c r="DH10" s="94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8"/>
      <c r="DT10" s="94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8"/>
      <c r="EF10" s="94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8"/>
      <c r="ER10" s="94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8"/>
      <c r="FD10" s="94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8"/>
      <c r="FP10" s="94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8"/>
      <c r="GN10" s="94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8"/>
    </row>
    <row r="11" spans="1:207" ht="19.5" customHeight="1" x14ac:dyDescent="0.2">
      <c r="B11" s="118" t="str">
        <f>Donnees!$C$24</f>
        <v>Doc : Rapport de Projet (?latex?)</v>
      </c>
      <c r="C11" s="99">
        <v>24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3"/>
      <c r="P11" s="89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3"/>
      <c r="AB11" s="89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3"/>
      <c r="AN11" s="89"/>
      <c r="AO11" s="90"/>
      <c r="AP11" s="91"/>
      <c r="AQ11" s="92"/>
      <c r="AR11" s="90"/>
      <c r="AS11" s="91"/>
      <c r="AT11" s="92"/>
      <c r="AU11" s="90"/>
      <c r="AV11" s="91"/>
      <c r="AW11" s="92"/>
      <c r="AX11" s="90"/>
      <c r="AY11" s="93"/>
      <c r="AZ11" s="89"/>
      <c r="BA11" s="90"/>
      <c r="BB11" s="91"/>
      <c r="BC11" s="92"/>
      <c r="BD11" s="90"/>
      <c r="BE11" s="91"/>
      <c r="BF11" s="92"/>
      <c r="BG11" s="90"/>
      <c r="BH11" s="91"/>
      <c r="BI11" s="92"/>
      <c r="BJ11" s="90"/>
      <c r="BK11" s="93"/>
      <c r="BL11" s="89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3"/>
      <c r="BX11" s="89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3"/>
      <c r="CJ11" s="89"/>
      <c r="CK11" s="90"/>
      <c r="CL11" s="91"/>
      <c r="CM11" s="92"/>
      <c r="CN11" s="90"/>
      <c r="CO11" s="91"/>
      <c r="CP11" s="92"/>
      <c r="CQ11" s="90"/>
      <c r="CR11" s="91"/>
      <c r="CS11" s="92"/>
      <c r="CT11" s="90"/>
      <c r="CU11" s="93"/>
      <c r="CV11" s="89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3"/>
      <c r="DH11" s="89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3"/>
      <c r="DT11" s="89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3"/>
      <c r="EF11" s="108"/>
      <c r="EG11" s="109"/>
      <c r="EH11" s="110"/>
      <c r="EI11" s="111"/>
      <c r="EJ11" s="109"/>
      <c r="EK11" s="110"/>
      <c r="EL11" s="111"/>
      <c r="EM11" s="109"/>
      <c r="EN11" s="110"/>
      <c r="EO11" s="111"/>
      <c r="EP11" s="109"/>
      <c r="EQ11" s="112"/>
      <c r="ER11" s="108"/>
      <c r="ES11" s="109"/>
      <c r="ET11" s="110"/>
      <c r="EU11" s="111"/>
      <c r="EV11" s="109"/>
      <c r="EW11" s="110"/>
      <c r="EX11" s="111"/>
      <c r="EY11" s="109"/>
      <c r="EZ11" s="110"/>
      <c r="FA11" s="111"/>
      <c r="FB11" s="109"/>
      <c r="FC11" s="112"/>
      <c r="FD11" s="89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3"/>
      <c r="FP11" s="89"/>
      <c r="FQ11" s="90"/>
      <c r="FR11" s="91"/>
      <c r="FS11" s="92"/>
      <c r="FT11" s="90"/>
      <c r="FU11" s="91"/>
      <c r="FV11" s="92"/>
      <c r="FW11" s="90"/>
      <c r="FX11" s="91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3"/>
      <c r="GN11" s="89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3"/>
    </row>
    <row r="12" spans="1:207" ht="19.5" customHeight="1" thickBot="1" x14ac:dyDescent="0.25">
      <c r="B12" s="119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8"/>
      <c r="P12" s="94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8"/>
      <c r="AB12" s="94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8"/>
      <c r="AN12" s="94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8"/>
      <c r="AZ12" s="94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8"/>
      <c r="BL12" s="94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8"/>
      <c r="BX12" s="94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8"/>
      <c r="CJ12" s="94"/>
      <c r="CK12" s="95"/>
      <c r="CL12" s="96"/>
      <c r="CM12" s="97"/>
      <c r="CN12" s="95"/>
      <c r="CO12" s="96"/>
      <c r="CP12" s="97"/>
      <c r="CQ12" s="95"/>
      <c r="CR12" s="96"/>
      <c r="CS12" s="97"/>
      <c r="CT12" s="95"/>
      <c r="CU12" s="98"/>
      <c r="CV12" s="94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8"/>
      <c r="DH12" s="94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8"/>
      <c r="DT12" s="94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8"/>
      <c r="EF12" s="94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8"/>
      <c r="ER12" s="94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8"/>
      <c r="FD12" s="94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8"/>
      <c r="FP12" s="94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8"/>
      <c r="GN12" s="94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8"/>
    </row>
    <row r="13" spans="1:207" ht="19.5" customHeight="1" x14ac:dyDescent="0.2">
      <c r="B13" s="118" t="str">
        <f>Donnees!$C$25</f>
        <v>BD : MLD - MPD + Implémentation</v>
      </c>
      <c r="C13" s="99">
        <v>7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3"/>
      <c r="P13" s="89"/>
      <c r="Q13" s="90"/>
      <c r="R13" s="91"/>
      <c r="S13" s="92"/>
      <c r="T13" s="90"/>
      <c r="U13" s="91"/>
      <c r="V13" s="111"/>
      <c r="W13" s="109"/>
      <c r="X13" s="110"/>
      <c r="Y13" s="111"/>
      <c r="Z13" s="90"/>
      <c r="AA13" s="93"/>
      <c r="AB13" s="89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3"/>
      <c r="AN13" s="89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3"/>
      <c r="AZ13" s="89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3"/>
      <c r="BL13" s="89"/>
      <c r="BM13" s="90"/>
      <c r="BN13" s="91"/>
      <c r="BO13" s="92"/>
      <c r="BP13" s="90"/>
      <c r="BQ13" s="91"/>
      <c r="BR13" s="92"/>
      <c r="BS13" s="90"/>
      <c r="BT13" s="91"/>
      <c r="BU13" s="111"/>
      <c r="BV13" s="109"/>
      <c r="BW13" s="112"/>
      <c r="BX13" s="89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3"/>
      <c r="CJ13" s="89"/>
      <c r="CK13" s="90"/>
      <c r="CL13" s="91"/>
      <c r="CM13" s="92"/>
      <c r="CN13" s="90"/>
      <c r="CO13" s="91"/>
      <c r="CP13" s="92"/>
      <c r="CQ13" s="90"/>
      <c r="CR13" s="91"/>
      <c r="CS13" s="92"/>
      <c r="CT13" s="90"/>
      <c r="CU13" s="93"/>
      <c r="CV13" s="89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3"/>
      <c r="DH13" s="89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3"/>
      <c r="DT13" s="89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3"/>
      <c r="EF13" s="89"/>
      <c r="EG13" s="90"/>
      <c r="EH13" s="91"/>
      <c r="EI13" s="92"/>
      <c r="EJ13" s="90"/>
      <c r="EK13" s="91"/>
      <c r="EL13" s="92"/>
      <c r="EM13" s="90"/>
      <c r="EN13" s="91"/>
      <c r="EO13" s="92"/>
      <c r="EP13" s="90"/>
      <c r="EQ13" s="93"/>
      <c r="ER13" s="89"/>
      <c r="ES13" s="90"/>
      <c r="ET13" s="91"/>
      <c r="EU13" s="92"/>
      <c r="EV13" s="90"/>
      <c r="EW13" s="91"/>
      <c r="EX13" s="92"/>
      <c r="EY13" s="90"/>
      <c r="EZ13" s="91"/>
      <c r="FA13" s="92"/>
      <c r="FB13" s="90"/>
      <c r="FC13" s="93"/>
      <c r="FD13" s="89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3"/>
      <c r="FP13" s="89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89"/>
      <c r="GC13" s="90"/>
      <c r="GD13" s="91"/>
      <c r="GE13" s="92"/>
      <c r="GF13" s="90"/>
      <c r="GG13" s="91"/>
      <c r="GH13" s="92"/>
      <c r="GI13" s="90"/>
      <c r="GJ13" s="91"/>
      <c r="GK13" s="92"/>
      <c r="GL13" s="90"/>
      <c r="GM13" s="93"/>
      <c r="GN13" s="89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3"/>
    </row>
    <row r="14" spans="1:207" ht="19.5" customHeight="1" thickBot="1" x14ac:dyDescent="0.25">
      <c r="B14" s="119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8"/>
      <c r="P14" s="94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8"/>
      <c r="AB14" s="94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8"/>
      <c r="AN14" s="94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8"/>
      <c r="AZ14" s="94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8"/>
      <c r="BL14" s="94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8"/>
      <c r="BX14" s="94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8"/>
      <c r="CJ14" s="94"/>
      <c r="CK14" s="95"/>
      <c r="CL14" s="96"/>
      <c r="CM14" s="97"/>
      <c r="CN14" s="95"/>
      <c r="CO14" s="96"/>
      <c r="CP14" s="97"/>
      <c r="CQ14" s="95"/>
      <c r="CR14" s="96"/>
      <c r="CS14" s="97"/>
      <c r="CT14" s="95"/>
      <c r="CU14" s="98"/>
      <c r="CV14" s="94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8"/>
      <c r="DH14" s="94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8"/>
      <c r="DT14" s="94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8"/>
      <c r="EF14" s="94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8"/>
      <c r="ER14" s="94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8"/>
      <c r="FD14" s="94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8"/>
      <c r="FP14" s="94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8"/>
      <c r="GN14" s="94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8"/>
    </row>
    <row r="15" spans="1:207" ht="19.5" customHeight="1" x14ac:dyDescent="0.2">
      <c r="B15" s="118" t="str">
        <f>Donnees!$C$26</f>
        <v>C# : Lien BD + Scripts</v>
      </c>
      <c r="C15" s="99">
        <v>6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3"/>
      <c r="P15" s="89"/>
      <c r="Q15" s="90"/>
      <c r="R15" s="91"/>
      <c r="S15" s="92"/>
      <c r="T15" s="90"/>
      <c r="U15" s="91"/>
      <c r="V15" s="92"/>
      <c r="W15" s="90"/>
      <c r="X15" s="91"/>
      <c r="Y15" s="92"/>
      <c r="Z15" s="109"/>
      <c r="AA15" s="112"/>
      <c r="AB15" s="108"/>
      <c r="AC15" s="109"/>
      <c r="AD15" s="110"/>
      <c r="AE15" s="92"/>
      <c r="AF15" s="90"/>
      <c r="AG15" s="91"/>
      <c r="AH15" s="92"/>
      <c r="AI15" s="90"/>
      <c r="AJ15" s="91"/>
      <c r="AK15" s="92"/>
      <c r="AL15" s="90"/>
      <c r="AM15" s="112"/>
      <c r="AN15" s="89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3"/>
      <c r="AZ15" s="89"/>
      <c r="BA15" s="90"/>
      <c r="BB15" s="91"/>
      <c r="BC15" s="92"/>
      <c r="BD15" s="90"/>
      <c r="BE15" s="91"/>
      <c r="BF15" s="92"/>
      <c r="BG15" s="90"/>
      <c r="BH15" s="91"/>
      <c r="BI15" s="92"/>
      <c r="BJ15" s="90"/>
      <c r="BK15" s="93"/>
      <c r="BL15" s="89"/>
      <c r="BM15" s="90"/>
      <c r="BN15" s="91"/>
      <c r="BO15" s="92"/>
      <c r="BP15" s="90"/>
      <c r="BQ15" s="91"/>
      <c r="BR15" s="92"/>
      <c r="BS15" s="90"/>
      <c r="BT15" s="91"/>
      <c r="BU15" s="92"/>
      <c r="BV15" s="90"/>
      <c r="BW15" s="93"/>
      <c r="BX15" s="89"/>
      <c r="BY15" s="90"/>
      <c r="BZ15" s="91"/>
      <c r="CA15" s="92"/>
      <c r="CB15" s="90"/>
      <c r="CC15" s="91"/>
      <c r="CD15" s="92"/>
      <c r="CE15" s="90"/>
      <c r="CF15" s="91"/>
      <c r="CG15" s="92"/>
      <c r="CH15" s="90"/>
      <c r="CI15" s="93"/>
      <c r="CJ15" s="89"/>
      <c r="CK15" s="90"/>
      <c r="CL15" s="91"/>
      <c r="CM15" s="92"/>
      <c r="CN15" s="90"/>
      <c r="CO15" s="91"/>
      <c r="CP15" s="92"/>
      <c r="CQ15" s="90"/>
      <c r="CR15" s="91"/>
      <c r="CS15" s="92"/>
      <c r="CT15" s="90"/>
      <c r="CU15" s="93"/>
      <c r="CV15" s="89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3"/>
      <c r="DH15" s="89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3"/>
      <c r="DT15" s="89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3"/>
      <c r="EF15" s="89"/>
      <c r="EG15" s="90"/>
      <c r="EH15" s="91"/>
      <c r="EI15" s="92"/>
      <c r="EJ15" s="90"/>
      <c r="EK15" s="91"/>
      <c r="EL15" s="92"/>
      <c r="EM15" s="90"/>
      <c r="EN15" s="91"/>
      <c r="EO15" s="92"/>
      <c r="EP15" s="90"/>
      <c r="EQ15" s="93"/>
      <c r="ER15" s="89"/>
      <c r="ES15" s="90"/>
      <c r="ET15" s="91"/>
      <c r="EU15" s="92"/>
      <c r="EV15" s="90"/>
      <c r="EW15" s="91"/>
      <c r="EX15" s="92"/>
      <c r="EY15" s="90"/>
      <c r="EZ15" s="91"/>
      <c r="FA15" s="92"/>
      <c r="FB15" s="90"/>
      <c r="FC15" s="93"/>
      <c r="FD15" s="89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3"/>
      <c r="FP15" s="89"/>
      <c r="FQ15" s="90"/>
      <c r="FR15" s="91"/>
      <c r="FS15" s="92"/>
      <c r="FT15" s="90"/>
      <c r="FU15" s="91"/>
      <c r="FV15" s="92"/>
      <c r="FW15" s="90"/>
      <c r="FX15" s="91"/>
      <c r="FY15" s="92"/>
      <c r="FZ15" s="90"/>
      <c r="GA15" s="93"/>
      <c r="GB15" s="89"/>
      <c r="GC15" s="90"/>
      <c r="GD15" s="91"/>
      <c r="GE15" s="92"/>
      <c r="GF15" s="90"/>
      <c r="GG15" s="91"/>
      <c r="GH15" s="92"/>
      <c r="GI15" s="90"/>
      <c r="GJ15" s="91"/>
      <c r="GK15" s="92"/>
      <c r="GL15" s="90"/>
      <c r="GM15" s="93"/>
      <c r="GN15" s="89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3"/>
    </row>
    <row r="16" spans="1:207" ht="19.5" customHeight="1" thickBot="1" x14ac:dyDescent="0.25">
      <c r="A16" s="101"/>
      <c r="B16" s="119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8"/>
      <c r="P16" s="94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8"/>
      <c r="AB16" s="94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8"/>
      <c r="AN16" s="94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8"/>
      <c r="AZ16" s="94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8"/>
      <c r="BL16" s="94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8"/>
      <c r="BX16" s="94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8"/>
      <c r="CJ16" s="94"/>
      <c r="CK16" s="95"/>
      <c r="CL16" s="96"/>
      <c r="CM16" s="97"/>
      <c r="CN16" s="95"/>
      <c r="CO16" s="96"/>
      <c r="CP16" s="97"/>
      <c r="CQ16" s="95"/>
      <c r="CR16" s="96"/>
      <c r="CS16" s="97"/>
      <c r="CT16" s="95"/>
      <c r="CU16" s="98"/>
      <c r="CV16" s="94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8"/>
      <c r="DH16" s="94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8"/>
      <c r="DT16" s="94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8"/>
      <c r="EF16" s="94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8"/>
      <c r="ER16" s="94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8"/>
      <c r="FD16" s="94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8"/>
      <c r="FP16" s="94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8"/>
      <c r="GN16" s="94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8"/>
    </row>
    <row r="17" spans="2:207" ht="19.5" customHeight="1" x14ac:dyDescent="0.2">
      <c r="B17" s="118" t="str">
        <f>Donnees!$C$27</f>
        <v>C# : Exploration K:</v>
      </c>
      <c r="C17" s="99">
        <v>8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3"/>
      <c r="P17" s="89"/>
      <c r="Q17" s="90"/>
      <c r="R17" s="91"/>
      <c r="S17" s="92"/>
      <c r="T17" s="90"/>
      <c r="U17" s="91"/>
      <c r="V17" s="92"/>
      <c r="W17" s="90"/>
      <c r="X17" s="91"/>
      <c r="Y17" s="92"/>
      <c r="Z17" s="90"/>
      <c r="AA17" s="93"/>
      <c r="AB17" s="89"/>
      <c r="AC17" s="90"/>
      <c r="AD17" s="91"/>
      <c r="AE17" s="111"/>
      <c r="AF17" s="109"/>
      <c r="AG17" s="110"/>
      <c r="AH17" s="111"/>
      <c r="AI17" s="109"/>
      <c r="AJ17" s="110"/>
      <c r="AK17" s="111"/>
      <c r="AL17" s="109"/>
      <c r="AM17" s="93"/>
      <c r="AN17" s="89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3"/>
      <c r="AZ17" s="89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3"/>
      <c r="BL17" s="89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3"/>
      <c r="BX17" s="89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3"/>
      <c r="CJ17" s="89"/>
      <c r="CK17" s="90"/>
      <c r="CL17" s="91"/>
      <c r="CM17" s="92"/>
      <c r="CN17" s="90"/>
      <c r="CO17" s="91"/>
      <c r="CP17" s="92"/>
      <c r="CQ17" s="90"/>
      <c r="CR17" s="91"/>
      <c r="CS17" s="92"/>
      <c r="CT17" s="90"/>
      <c r="CU17" s="93"/>
      <c r="CV17" s="89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3"/>
      <c r="DH17" s="89"/>
      <c r="DI17" s="90"/>
      <c r="DJ17" s="91"/>
      <c r="DK17" s="92"/>
      <c r="DL17" s="90"/>
      <c r="DM17" s="91"/>
      <c r="DN17" s="92"/>
      <c r="DO17" s="90"/>
      <c r="DP17" s="91"/>
      <c r="DQ17" s="92"/>
      <c r="DR17" s="90"/>
      <c r="DS17" s="93"/>
      <c r="DT17" s="89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3"/>
      <c r="EF17" s="89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3"/>
      <c r="ER17" s="89"/>
      <c r="ES17" s="90"/>
      <c r="ET17" s="91"/>
      <c r="EU17" s="92"/>
      <c r="EV17" s="90"/>
      <c r="EW17" s="91"/>
      <c r="EX17" s="92"/>
      <c r="EY17" s="90"/>
      <c r="EZ17" s="91"/>
      <c r="FA17" s="92"/>
      <c r="FB17" s="90"/>
      <c r="FC17" s="93"/>
      <c r="FD17" s="89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3"/>
      <c r="FP17" s="89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3"/>
      <c r="GN17" s="89"/>
      <c r="GO17" s="90"/>
      <c r="GP17" s="91"/>
      <c r="GQ17" s="92"/>
      <c r="GR17" s="90"/>
      <c r="GS17" s="91"/>
      <c r="GT17" s="92"/>
      <c r="GU17" s="90"/>
      <c r="GV17" s="91"/>
      <c r="GW17" s="92"/>
      <c r="GX17" s="90"/>
      <c r="GY17" s="93"/>
    </row>
    <row r="18" spans="2:207" ht="19.5" customHeight="1" thickBot="1" x14ac:dyDescent="0.25">
      <c r="B18" s="119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8"/>
      <c r="P18" s="94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8"/>
      <c r="AB18" s="94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8"/>
      <c r="AN18" s="94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8"/>
      <c r="AZ18" s="94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8"/>
      <c r="BL18" s="94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8"/>
      <c r="BX18" s="94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8"/>
      <c r="CJ18" s="94"/>
      <c r="CK18" s="95"/>
      <c r="CL18" s="96"/>
      <c r="CM18" s="97"/>
      <c r="CN18" s="95"/>
      <c r="CO18" s="96"/>
      <c r="CP18" s="97"/>
      <c r="CQ18" s="95"/>
      <c r="CR18" s="96"/>
      <c r="CS18" s="97"/>
      <c r="CT18" s="95"/>
      <c r="CU18" s="98"/>
      <c r="CV18" s="94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8"/>
      <c r="DH18" s="94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8"/>
      <c r="DT18" s="94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8"/>
      <c r="EF18" s="94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8"/>
      <c r="ER18" s="94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8"/>
      <c r="FD18" s="94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8"/>
      <c r="FP18" s="94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8"/>
      <c r="GN18" s="94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8"/>
    </row>
    <row r="19" spans="2:207" ht="19.5" customHeight="1" x14ac:dyDescent="0.2">
      <c r="B19" s="118" t="str">
        <f>Donnees!$C$28</f>
        <v>C# : Exploration etml.ch</v>
      </c>
      <c r="C19" s="99">
        <v>21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3"/>
      <c r="P19" s="89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3"/>
      <c r="AB19" s="89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3"/>
      <c r="AN19" s="89"/>
      <c r="AO19" s="90"/>
      <c r="AP19" s="91"/>
      <c r="AQ19" s="92"/>
      <c r="AR19" s="90"/>
      <c r="AS19" s="91"/>
      <c r="AT19" s="92"/>
      <c r="AU19" s="90"/>
      <c r="AV19" s="91"/>
      <c r="AW19" s="111"/>
      <c r="AX19" s="109"/>
      <c r="AY19" s="112"/>
      <c r="AZ19" s="89"/>
      <c r="BA19" s="90"/>
      <c r="BB19" s="91"/>
      <c r="BC19" s="111"/>
      <c r="BD19" s="109"/>
      <c r="BE19" s="110"/>
      <c r="BF19" s="111"/>
      <c r="BG19" s="109"/>
      <c r="BH19" s="110"/>
      <c r="BI19" s="111"/>
      <c r="BJ19" s="109"/>
      <c r="BK19" s="112"/>
      <c r="BL19" s="108"/>
      <c r="BM19" s="109"/>
      <c r="BN19" s="110"/>
      <c r="BO19" s="111"/>
      <c r="BP19" s="109"/>
      <c r="BQ19" s="110"/>
      <c r="BR19" s="111"/>
      <c r="BS19" s="109"/>
      <c r="BT19" s="110"/>
      <c r="BU19" s="92"/>
      <c r="BV19" s="90"/>
      <c r="BW19" s="93"/>
      <c r="BX19" s="89"/>
      <c r="BY19" s="90"/>
      <c r="BZ19" s="91"/>
      <c r="CA19" s="92"/>
      <c r="CB19" s="90"/>
      <c r="CC19" s="91"/>
      <c r="CD19" s="92"/>
      <c r="CE19" s="90"/>
      <c r="CF19" s="91"/>
      <c r="CG19" s="92"/>
      <c r="CH19" s="90"/>
      <c r="CI19" s="93"/>
      <c r="CJ19" s="89"/>
      <c r="CK19" s="90"/>
      <c r="CL19" s="91"/>
      <c r="CM19" s="92"/>
      <c r="CN19" s="90"/>
      <c r="CO19" s="91"/>
      <c r="CP19" s="92"/>
      <c r="CQ19" s="90"/>
      <c r="CR19" s="91"/>
      <c r="CS19" s="92"/>
      <c r="CT19" s="90"/>
      <c r="CU19" s="93"/>
      <c r="CV19" s="89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3"/>
      <c r="DH19" s="89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3"/>
      <c r="DT19" s="89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3"/>
      <c r="EF19" s="89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3"/>
      <c r="ER19" s="89"/>
      <c r="ES19" s="90"/>
      <c r="ET19" s="91"/>
      <c r="EU19" s="92"/>
      <c r="EV19" s="90"/>
      <c r="EW19" s="91"/>
      <c r="EX19" s="92"/>
      <c r="EY19" s="90"/>
      <c r="EZ19" s="91"/>
      <c r="FA19" s="92"/>
      <c r="FB19" s="90"/>
      <c r="FC19" s="93"/>
      <c r="FD19" s="89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3"/>
      <c r="FP19" s="89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92"/>
      <c r="GL19" s="90"/>
      <c r="GM19" s="93"/>
      <c r="GN19" s="89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3"/>
    </row>
    <row r="20" spans="2:207" ht="19.5" customHeight="1" thickBot="1" x14ac:dyDescent="0.25">
      <c r="B20" s="119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8"/>
      <c r="P20" s="94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8"/>
      <c r="AB20" s="94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8"/>
      <c r="AN20" s="94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8"/>
      <c r="AZ20" s="94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8"/>
      <c r="BL20" s="94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8"/>
      <c r="BX20" s="94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8"/>
      <c r="CJ20" s="94"/>
      <c r="CK20" s="95"/>
      <c r="CL20" s="96"/>
      <c r="CM20" s="97"/>
      <c r="CN20" s="95"/>
      <c r="CO20" s="96"/>
      <c r="CP20" s="97"/>
      <c r="CQ20" s="95"/>
      <c r="CR20" s="96"/>
      <c r="CS20" s="97"/>
      <c r="CT20" s="95"/>
      <c r="CU20" s="98"/>
      <c r="CV20" s="94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8"/>
      <c r="DH20" s="94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8"/>
      <c r="DT20" s="94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8"/>
      <c r="EF20" s="94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8"/>
      <c r="ER20" s="94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8"/>
      <c r="FD20" s="94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8"/>
      <c r="FP20" s="94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8"/>
      <c r="GN20" s="94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8"/>
    </row>
    <row r="21" spans="2:207" ht="19.5" customHeight="1" x14ac:dyDescent="0.2">
      <c r="B21" s="118" t="str">
        <f>Donnees!$C$29</f>
        <v>C# : Connection + Exploration educanet2</v>
      </c>
      <c r="C21" s="99">
        <v>28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3"/>
      <c r="P21" s="89"/>
      <c r="Q21" s="90"/>
      <c r="R21" s="91"/>
      <c r="S21" s="92"/>
      <c r="T21" s="90"/>
      <c r="U21" s="91"/>
      <c r="V21" s="92"/>
      <c r="W21" s="90"/>
      <c r="X21" s="91"/>
      <c r="Y21" s="92"/>
      <c r="Z21" s="90"/>
      <c r="AA21" s="93"/>
      <c r="AB21" s="89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3"/>
      <c r="AN21" s="89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3"/>
      <c r="AZ21" s="89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3"/>
      <c r="BL21" s="89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3"/>
      <c r="BX21" s="108"/>
      <c r="BY21" s="109"/>
      <c r="BZ21" s="110"/>
      <c r="CA21" s="111"/>
      <c r="CB21" s="109"/>
      <c r="CC21" s="110"/>
      <c r="CD21" s="111"/>
      <c r="CE21" s="109"/>
      <c r="CF21" s="110"/>
      <c r="CG21" s="111"/>
      <c r="CH21" s="90"/>
      <c r="CI21" s="93"/>
      <c r="CJ21" s="108"/>
      <c r="CK21" s="109"/>
      <c r="CL21" s="110"/>
      <c r="CM21" s="111"/>
      <c r="CN21" s="109"/>
      <c r="CO21" s="110"/>
      <c r="CP21" s="111"/>
      <c r="CQ21" s="109"/>
      <c r="CR21" s="110"/>
      <c r="CS21" s="111"/>
      <c r="CT21" s="109"/>
      <c r="CU21" s="112"/>
      <c r="CV21" s="108"/>
      <c r="CW21" s="109"/>
      <c r="CX21" s="110"/>
      <c r="CY21" s="111"/>
      <c r="CZ21" s="109"/>
      <c r="DA21" s="110"/>
      <c r="DB21" s="92"/>
      <c r="DC21" s="90"/>
      <c r="DD21" s="91"/>
      <c r="DE21" s="92"/>
      <c r="DF21" s="90"/>
      <c r="DG21" s="93"/>
      <c r="DH21" s="89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3"/>
      <c r="DT21" s="89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3"/>
      <c r="EF21" s="89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3"/>
      <c r="ER21" s="89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3"/>
      <c r="FD21" s="89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3"/>
      <c r="FP21" s="89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3"/>
      <c r="GN21" s="89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3"/>
    </row>
    <row r="22" spans="2:207" ht="19.5" customHeight="1" thickBot="1" x14ac:dyDescent="0.25">
      <c r="B22" s="119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8"/>
      <c r="P22" s="94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8"/>
      <c r="AB22" s="94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8"/>
      <c r="AN22" s="94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8"/>
      <c r="AZ22" s="94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8"/>
      <c r="BL22" s="94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8"/>
      <c r="BX22" s="94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8"/>
      <c r="CJ22" s="94"/>
      <c r="CK22" s="95"/>
      <c r="CL22" s="96"/>
      <c r="CM22" s="97"/>
      <c r="CN22" s="95"/>
      <c r="CO22" s="96"/>
      <c r="CP22" s="97"/>
      <c r="CQ22" s="95"/>
      <c r="CR22" s="96"/>
      <c r="CS22" s="97"/>
      <c r="CT22" s="95"/>
      <c r="CU22" s="98"/>
      <c r="CV22" s="94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8"/>
      <c r="DH22" s="94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8"/>
      <c r="DT22" s="94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8"/>
      <c r="EF22" s="94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8"/>
      <c r="ER22" s="94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8"/>
      <c r="FD22" s="94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8"/>
      <c r="FP22" s="94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8"/>
      <c r="GN22" s="94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8"/>
    </row>
    <row r="23" spans="2:207" ht="19.5" customHeight="1" x14ac:dyDescent="0.2">
      <c r="B23" s="118" t="str">
        <f>Donnees!$C$30</f>
        <v>C# : Interface</v>
      </c>
      <c r="C23" s="99">
        <v>14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3"/>
      <c r="P23" s="89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3"/>
      <c r="AB23" s="89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3"/>
      <c r="AN23" s="108"/>
      <c r="AO23" s="109"/>
      <c r="AP23" s="110"/>
      <c r="AQ23" s="111"/>
      <c r="AR23" s="109"/>
      <c r="AS23" s="110"/>
      <c r="AT23" s="111"/>
      <c r="AU23" s="109"/>
      <c r="AV23" s="110"/>
      <c r="AW23" s="92"/>
      <c r="AX23" s="90"/>
      <c r="AY23" s="93"/>
      <c r="AZ23" s="108"/>
      <c r="BA23" s="109"/>
      <c r="BB23" s="110"/>
      <c r="BC23" s="92"/>
      <c r="BD23" s="90"/>
      <c r="BE23" s="91"/>
      <c r="BF23" s="92"/>
      <c r="BG23" s="90"/>
      <c r="BH23" s="91"/>
      <c r="BI23" s="92"/>
      <c r="BJ23" s="90"/>
      <c r="BK23" s="93"/>
      <c r="BL23" s="89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3"/>
      <c r="BX23" s="89"/>
      <c r="BY23" s="90"/>
      <c r="BZ23" s="91"/>
      <c r="CA23" s="92"/>
      <c r="CB23" s="90"/>
      <c r="CC23" s="91"/>
      <c r="CD23" s="92"/>
      <c r="CE23" s="90"/>
      <c r="CF23" s="91"/>
      <c r="CG23" s="92"/>
      <c r="CH23" s="109"/>
      <c r="CI23" s="112"/>
      <c r="CJ23" s="89"/>
      <c r="CK23" s="90"/>
      <c r="CL23" s="91"/>
      <c r="CM23" s="92"/>
      <c r="CN23" s="90"/>
      <c r="CO23" s="91"/>
      <c r="CP23" s="92"/>
      <c r="CQ23" s="90"/>
      <c r="CR23" s="91"/>
      <c r="CS23" s="92"/>
      <c r="CT23" s="90"/>
      <c r="CU23" s="93"/>
      <c r="CV23" s="89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3"/>
      <c r="DH23" s="89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3"/>
      <c r="DT23" s="89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3"/>
      <c r="EF23" s="89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3"/>
      <c r="ER23" s="89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3"/>
      <c r="FD23" s="89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3"/>
      <c r="FP23" s="89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3"/>
      <c r="GN23" s="89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3"/>
    </row>
    <row r="24" spans="2:207" ht="19.5" customHeight="1" thickBot="1" x14ac:dyDescent="0.25">
      <c r="B24" s="119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8"/>
      <c r="P24" s="94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8"/>
      <c r="AB24" s="94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8"/>
      <c r="AN24" s="94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8"/>
      <c r="AZ24" s="94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8"/>
      <c r="BL24" s="94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8"/>
      <c r="BX24" s="94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8"/>
      <c r="CJ24" s="94"/>
      <c r="CK24" s="95"/>
      <c r="CL24" s="96"/>
      <c r="CM24" s="97"/>
      <c r="CN24" s="95"/>
      <c r="CO24" s="96"/>
      <c r="CP24" s="97"/>
      <c r="CQ24" s="95"/>
      <c r="CR24" s="96"/>
      <c r="CS24" s="97"/>
      <c r="CT24" s="95"/>
      <c r="CU24" s="98"/>
      <c r="CV24" s="94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8"/>
      <c r="DH24" s="94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8"/>
      <c r="DT24" s="94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8"/>
      <c r="EF24" s="94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8"/>
      <c r="ER24" s="94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8"/>
      <c r="FD24" s="94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8"/>
      <c r="FP24" s="94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8"/>
      <c r="GN24" s="94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8"/>
    </row>
    <row r="25" spans="2:207" ht="19.5" customHeight="1" x14ac:dyDescent="0.2">
      <c r="B25" s="118" t="str">
        <f>Donnees!$C$31</f>
        <v>C# : Tests unitaires</v>
      </c>
      <c r="C25" s="99">
        <v>15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3"/>
      <c r="P25" s="89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3"/>
      <c r="AB25" s="89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3"/>
      <c r="AN25" s="89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3"/>
      <c r="AZ25" s="89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3"/>
      <c r="BL25" s="89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3"/>
      <c r="BX25" s="89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3"/>
      <c r="CJ25" s="89"/>
      <c r="CK25" s="90"/>
      <c r="CL25" s="91"/>
      <c r="CM25" s="92"/>
      <c r="CN25" s="90"/>
      <c r="CO25" s="91"/>
      <c r="CP25" s="92"/>
      <c r="CQ25" s="90"/>
      <c r="CR25" s="91"/>
      <c r="CS25" s="92"/>
      <c r="CT25" s="90"/>
      <c r="CU25" s="93"/>
      <c r="CV25" s="89"/>
      <c r="CW25" s="90"/>
      <c r="CX25" s="91"/>
      <c r="CY25" s="92"/>
      <c r="CZ25" s="90"/>
      <c r="DA25" s="91"/>
      <c r="DB25" s="111"/>
      <c r="DC25" s="109"/>
      <c r="DD25" s="110"/>
      <c r="DE25" s="111"/>
      <c r="DF25" s="109"/>
      <c r="DG25" s="112"/>
      <c r="DH25" s="108"/>
      <c r="DI25" s="109"/>
      <c r="DJ25" s="110"/>
      <c r="DK25" s="111"/>
      <c r="DL25" s="109"/>
      <c r="DM25" s="110"/>
      <c r="DN25" s="111"/>
      <c r="DO25" s="109"/>
      <c r="DP25" s="110"/>
      <c r="DQ25" s="92"/>
      <c r="DR25" s="90"/>
      <c r="DS25" s="93"/>
      <c r="DT25" s="89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3"/>
      <c r="EF25" s="89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3"/>
      <c r="ER25" s="89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3"/>
      <c r="FD25" s="89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3"/>
      <c r="FP25" s="89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3"/>
      <c r="GN25" s="89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3"/>
    </row>
    <row r="26" spans="2:207" ht="19.5" customHeight="1" thickBot="1" x14ac:dyDescent="0.25">
      <c r="B26" s="119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8"/>
      <c r="P26" s="94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8"/>
      <c r="AB26" s="94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8"/>
      <c r="AN26" s="94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8"/>
      <c r="AZ26" s="94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8"/>
      <c r="BL26" s="94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8"/>
      <c r="BX26" s="94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8"/>
      <c r="CJ26" s="94"/>
      <c r="CK26" s="95"/>
      <c r="CL26" s="96"/>
      <c r="CM26" s="97"/>
      <c r="CN26" s="95"/>
      <c r="CO26" s="96"/>
      <c r="CP26" s="97"/>
      <c r="CQ26" s="95"/>
      <c r="CR26" s="96"/>
      <c r="CS26" s="97"/>
      <c r="CT26" s="95"/>
      <c r="CU26" s="98"/>
      <c r="CV26" s="94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8"/>
      <c r="DH26" s="94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8"/>
      <c r="DT26" s="94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8"/>
      <c r="EF26" s="94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8"/>
      <c r="ER26" s="94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8"/>
      <c r="FD26" s="94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8"/>
      <c r="FP26" s="94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8"/>
      <c r="GN26" s="94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8"/>
    </row>
    <row r="27" spans="2:207" ht="19.5" customHeight="1" x14ac:dyDescent="0.2">
      <c r="B27" s="118" t="str">
        <f>Donnees!$C$32</f>
        <v>C# : Tests</v>
      </c>
      <c r="C27" s="99">
        <v>9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3"/>
      <c r="P27" s="89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3"/>
      <c r="AB27" s="89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3"/>
      <c r="AN27" s="89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3"/>
      <c r="AZ27" s="89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3"/>
      <c r="BL27" s="89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3"/>
      <c r="BX27" s="89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3"/>
      <c r="CJ27" s="89"/>
      <c r="CK27" s="90"/>
      <c r="CL27" s="91"/>
      <c r="CM27" s="92"/>
      <c r="CN27" s="90"/>
      <c r="CO27" s="91"/>
      <c r="CP27" s="92"/>
      <c r="CQ27" s="90"/>
      <c r="CR27" s="91"/>
      <c r="CS27" s="92"/>
      <c r="CT27" s="90"/>
      <c r="CU27" s="93"/>
      <c r="CV27" s="89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3"/>
      <c r="DH27" s="89"/>
      <c r="DI27" s="90"/>
      <c r="DJ27" s="91"/>
      <c r="DK27" s="92"/>
      <c r="DL27" s="90"/>
      <c r="DM27" s="91"/>
      <c r="DN27" s="92"/>
      <c r="DO27" s="90"/>
      <c r="DP27" s="91"/>
      <c r="DQ27" s="111"/>
      <c r="DR27" s="109"/>
      <c r="DS27" s="112"/>
      <c r="DT27" s="108"/>
      <c r="DU27" s="109"/>
      <c r="DV27" s="110"/>
      <c r="DW27" s="111"/>
      <c r="DX27" s="109"/>
      <c r="DY27" s="110"/>
      <c r="DZ27" s="92"/>
      <c r="EA27" s="90"/>
      <c r="EB27" s="91"/>
      <c r="EC27" s="92"/>
      <c r="ED27" s="90"/>
      <c r="EE27" s="93"/>
      <c r="EF27" s="89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3"/>
      <c r="ER27" s="89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3"/>
      <c r="FD27" s="89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3"/>
      <c r="FP27" s="89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3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3"/>
      <c r="GN27" s="89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3"/>
    </row>
    <row r="28" spans="2:207" ht="19.5" customHeight="1" thickBot="1" x14ac:dyDescent="0.25">
      <c r="B28" s="119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8"/>
      <c r="P28" s="94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8"/>
      <c r="AB28" s="94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8"/>
      <c r="AN28" s="94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8"/>
      <c r="AZ28" s="94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8"/>
      <c r="BL28" s="94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8"/>
      <c r="BX28" s="94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8"/>
      <c r="CJ28" s="94"/>
      <c r="CK28" s="95"/>
      <c r="CL28" s="96"/>
      <c r="CM28" s="97"/>
      <c r="CN28" s="95"/>
      <c r="CO28" s="96"/>
      <c r="CP28" s="97"/>
      <c r="CQ28" s="95"/>
      <c r="CR28" s="96"/>
      <c r="CS28" s="97"/>
      <c r="CT28" s="95"/>
      <c r="CU28" s="98"/>
      <c r="CV28" s="94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8"/>
      <c r="DH28" s="94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8"/>
      <c r="DT28" s="94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8"/>
      <c r="EF28" s="94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8"/>
      <c r="ER28" s="94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8"/>
      <c r="FD28" s="94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8"/>
      <c r="FP28" s="94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8"/>
      <c r="GN28" s="94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8"/>
    </row>
    <row r="29" spans="2:207" ht="19.5" customHeight="1" x14ac:dyDescent="0.2">
      <c r="B29" s="118" t="str">
        <f>Donnees!$C$33</f>
        <v>C#: Révision code + Doc doxygen</v>
      </c>
      <c r="C29" s="99">
        <v>6</v>
      </c>
      <c r="D29" s="89"/>
      <c r="E29" s="90"/>
      <c r="F29" s="91"/>
      <c r="G29" s="92"/>
      <c r="H29" s="90"/>
      <c r="I29" s="91"/>
      <c r="J29" s="92"/>
      <c r="K29" s="90"/>
      <c r="L29" s="91"/>
      <c r="M29" s="92"/>
      <c r="N29" s="90"/>
      <c r="O29" s="93"/>
      <c r="P29" s="89"/>
      <c r="Q29" s="90"/>
      <c r="R29" s="91"/>
      <c r="S29" s="92"/>
      <c r="T29" s="90"/>
      <c r="U29" s="91"/>
      <c r="V29" s="92"/>
      <c r="W29" s="90"/>
      <c r="X29" s="91"/>
      <c r="Y29" s="92"/>
      <c r="Z29" s="90"/>
      <c r="AA29" s="93"/>
      <c r="AB29" s="89"/>
      <c r="AC29" s="90"/>
      <c r="AD29" s="91"/>
      <c r="AE29" s="92"/>
      <c r="AF29" s="90"/>
      <c r="AG29" s="91"/>
      <c r="AH29" s="92"/>
      <c r="AI29" s="90"/>
      <c r="AJ29" s="91"/>
      <c r="AK29" s="92"/>
      <c r="AL29" s="90"/>
      <c r="AM29" s="93"/>
      <c r="AN29" s="89"/>
      <c r="AO29" s="90"/>
      <c r="AP29" s="91"/>
      <c r="AQ29" s="92"/>
      <c r="AR29" s="90"/>
      <c r="AS29" s="91"/>
      <c r="AT29" s="92"/>
      <c r="AU29" s="90"/>
      <c r="AV29" s="91"/>
      <c r="AW29" s="92"/>
      <c r="AX29" s="90"/>
      <c r="AY29" s="93"/>
      <c r="AZ29" s="89"/>
      <c r="BA29" s="90"/>
      <c r="BB29" s="91"/>
      <c r="BC29" s="92"/>
      <c r="BD29" s="90"/>
      <c r="BE29" s="91"/>
      <c r="BF29" s="92"/>
      <c r="BG29" s="90"/>
      <c r="BH29" s="91"/>
      <c r="BI29" s="92"/>
      <c r="BJ29" s="90"/>
      <c r="BK29" s="93"/>
      <c r="BL29" s="89"/>
      <c r="BM29" s="90"/>
      <c r="BN29" s="91"/>
      <c r="BO29" s="92"/>
      <c r="BP29" s="90"/>
      <c r="BQ29" s="91"/>
      <c r="BR29" s="92"/>
      <c r="BS29" s="90"/>
      <c r="BT29" s="91"/>
      <c r="BU29" s="92"/>
      <c r="BV29" s="90"/>
      <c r="BW29" s="93"/>
      <c r="BX29" s="89"/>
      <c r="BY29" s="90"/>
      <c r="BZ29" s="91"/>
      <c r="CA29" s="92"/>
      <c r="CB29" s="90"/>
      <c r="CC29" s="91"/>
      <c r="CD29" s="92"/>
      <c r="CE29" s="90"/>
      <c r="CF29" s="91"/>
      <c r="CG29" s="92"/>
      <c r="CH29" s="90"/>
      <c r="CI29" s="93"/>
      <c r="CJ29" s="89"/>
      <c r="CK29" s="90"/>
      <c r="CL29" s="91"/>
      <c r="CM29" s="92"/>
      <c r="CN29" s="90"/>
      <c r="CO29" s="91"/>
      <c r="CP29" s="92"/>
      <c r="CQ29" s="90"/>
      <c r="CR29" s="91"/>
      <c r="CS29" s="92"/>
      <c r="CT29" s="90"/>
      <c r="CU29" s="93"/>
      <c r="CV29" s="89"/>
      <c r="CW29" s="90"/>
      <c r="CX29" s="91"/>
      <c r="CY29" s="92"/>
      <c r="CZ29" s="90"/>
      <c r="DA29" s="91"/>
      <c r="DB29" s="92"/>
      <c r="DC29" s="90"/>
      <c r="DD29" s="91"/>
      <c r="DE29" s="92"/>
      <c r="DF29" s="90"/>
      <c r="DG29" s="93"/>
      <c r="DH29" s="89"/>
      <c r="DI29" s="90"/>
      <c r="DJ29" s="91"/>
      <c r="DK29" s="92"/>
      <c r="DL29" s="90"/>
      <c r="DM29" s="91"/>
      <c r="DN29" s="92"/>
      <c r="DO29" s="90"/>
      <c r="DP29" s="91"/>
      <c r="DQ29" s="92"/>
      <c r="DR29" s="90"/>
      <c r="DS29" s="93"/>
      <c r="DT29" s="89"/>
      <c r="DU29" s="90"/>
      <c r="DV29" s="91"/>
      <c r="DW29" s="92"/>
      <c r="DX29" s="90"/>
      <c r="DY29" s="91"/>
      <c r="DZ29" s="111"/>
      <c r="EA29" s="109"/>
      <c r="EB29" s="110"/>
      <c r="EC29" s="111"/>
      <c r="ED29" s="109"/>
      <c r="EE29" s="112"/>
      <c r="EF29" s="89"/>
      <c r="EG29" s="90"/>
      <c r="EH29" s="91"/>
      <c r="EI29" s="92"/>
      <c r="EJ29" s="90"/>
      <c r="EK29" s="91"/>
      <c r="EL29" s="92"/>
      <c r="EM29" s="90"/>
      <c r="EN29" s="91"/>
      <c r="EO29" s="92"/>
      <c r="EP29" s="90"/>
      <c r="EQ29" s="93"/>
      <c r="ER29" s="89"/>
      <c r="ES29" s="90"/>
      <c r="ET29" s="91"/>
      <c r="EU29" s="92"/>
      <c r="EV29" s="90"/>
      <c r="EW29" s="91"/>
      <c r="EX29" s="92"/>
      <c r="EY29" s="90"/>
      <c r="EZ29" s="91"/>
      <c r="FA29" s="92"/>
      <c r="FB29" s="90"/>
      <c r="FC29" s="93"/>
      <c r="FD29" s="89"/>
      <c r="FE29" s="90"/>
      <c r="FF29" s="91"/>
      <c r="FG29" s="92"/>
      <c r="FH29" s="90"/>
      <c r="FI29" s="91"/>
      <c r="FJ29" s="92"/>
      <c r="FK29" s="90"/>
      <c r="FL29" s="91"/>
      <c r="FM29" s="92"/>
      <c r="FN29" s="90"/>
      <c r="FO29" s="93"/>
      <c r="FP29" s="89"/>
      <c r="FQ29" s="90"/>
      <c r="FR29" s="91"/>
      <c r="FS29" s="92"/>
      <c r="FT29" s="90"/>
      <c r="FU29" s="91"/>
      <c r="FV29" s="92"/>
      <c r="FW29" s="90"/>
      <c r="FX29" s="91"/>
      <c r="FY29" s="92"/>
      <c r="FZ29" s="90"/>
      <c r="GA29" s="93"/>
      <c r="GB29" s="89"/>
      <c r="GC29" s="90"/>
      <c r="GD29" s="91"/>
      <c r="GE29" s="92"/>
      <c r="GF29" s="90"/>
      <c r="GG29" s="91"/>
      <c r="GH29" s="92"/>
      <c r="GI29" s="90"/>
      <c r="GJ29" s="91"/>
      <c r="GK29" s="92"/>
      <c r="GL29" s="90"/>
      <c r="GM29" s="93"/>
      <c r="GN29" s="89"/>
      <c r="GO29" s="90"/>
      <c r="GP29" s="91"/>
      <c r="GQ29" s="92"/>
      <c r="GR29" s="90"/>
      <c r="GS29" s="91"/>
      <c r="GT29" s="92"/>
      <c r="GU29" s="90"/>
      <c r="GV29" s="91"/>
      <c r="GW29" s="92"/>
      <c r="GX29" s="90"/>
      <c r="GY29" s="93"/>
    </row>
    <row r="30" spans="2:207" ht="19.5" customHeight="1" thickBot="1" x14ac:dyDescent="0.25">
      <c r="B30" s="119"/>
      <c r="C30" s="100">
        <v>0</v>
      </c>
      <c r="D30" s="94"/>
      <c r="E30" s="95"/>
      <c r="F30" s="96"/>
      <c r="G30" s="97"/>
      <c r="H30" s="95"/>
      <c r="I30" s="96"/>
      <c r="J30" s="97"/>
      <c r="K30" s="95"/>
      <c r="L30" s="96"/>
      <c r="M30" s="97"/>
      <c r="N30" s="95"/>
      <c r="O30" s="98"/>
      <c r="P30" s="94"/>
      <c r="Q30" s="95"/>
      <c r="R30" s="96"/>
      <c r="S30" s="97"/>
      <c r="T30" s="95"/>
      <c r="U30" s="96"/>
      <c r="V30" s="97"/>
      <c r="W30" s="95"/>
      <c r="X30" s="96"/>
      <c r="Y30" s="97"/>
      <c r="Z30" s="95"/>
      <c r="AA30" s="98"/>
      <c r="AB30" s="94"/>
      <c r="AC30" s="95"/>
      <c r="AD30" s="96"/>
      <c r="AE30" s="97"/>
      <c r="AF30" s="95"/>
      <c r="AG30" s="96"/>
      <c r="AH30" s="97"/>
      <c r="AI30" s="95"/>
      <c r="AJ30" s="96"/>
      <c r="AK30" s="97"/>
      <c r="AL30" s="95"/>
      <c r="AM30" s="98"/>
      <c r="AN30" s="94"/>
      <c r="AO30" s="95"/>
      <c r="AP30" s="96"/>
      <c r="AQ30" s="97"/>
      <c r="AR30" s="95"/>
      <c r="AS30" s="96"/>
      <c r="AT30" s="97"/>
      <c r="AU30" s="95"/>
      <c r="AV30" s="96"/>
      <c r="AW30" s="97"/>
      <c r="AX30" s="95"/>
      <c r="AY30" s="98"/>
      <c r="AZ30" s="94"/>
      <c r="BA30" s="95"/>
      <c r="BB30" s="96"/>
      <c r="BC30" s="97"/>
      <c r="BD30" s="95"/>
      <c r="BE30" s="96"/>
      <c r="BF30" s="97"/>
      <c r="BG30" s="95"/>
      <c r="BH30" s="96"/>
      <c r="BI30" s="97"/>
      <c r="BJ30" s="95"/>
      <c r="BK30" s="98"/>
      <c r="BL30" s="94"/>
      <c r="BM30" s="95"/>
      <c r="BN30" s="96"/>
      <c r="BO30" s="97"/>
      <c r="BP30" s="95"/>
      <c r="BQ30" s="96"/>
      <c r="BR30" s="97"/>
      <c r="BS30" s="95"/>
      <c r="BT30" s="96"/>
      <c r="BU30" s="97"/>
      <c r="BV30" s="95"/>
      <c r="BW30" s="98"/>
      <c r="BX30" s="94"/>
      <c r="BY30" s="95"/>
      <c r="BZ30" s="96"/>
      <c r="CA30" s="97"/>
      <c r="CB30" s="95"/>
      <c r="CC30" s="96"/>
      <c r="CD30" s="97"/>
      <c r="CE30" s="95"/>
      <c r="CF30" s="96"/>
      <c r="CG30" s="97"/>
      <c r="CH30" s="95"/>
      <c r="CI30" s="98"/>
      <c r="CJ30" s="94"/>
      <c r="CK30" s="95"/>
      <c r="CL30" s="96"/>
      <c r="CM30" s="97"/>
      <c r="CN30" s="95"/>
      <c r="CO30" s="96"/>
      <c r="CP30" s="97"/>
      <c r="CQ30" s="95"/>
      <c r="CR30" s="96"/>
      <c r="CS30" s="97"/>
      <c r="CT30" s="95"/>
      <c r="CU30" s="98"/>
      <c r="CV30" s="94"/>
      <c r="CW30" s="95"/>
      <c r="CX30" s="96"/>
      <c r="CY30" s="97"/>
      <c r="CZ30" s="95"/>
      <c r="DA30" s="96"/>
      <c r="DB30" s="97"/>
      <c r="DC30" s="95"/>
      <c r="DD30" s="96"/>
      <c r="DE30" s="97"/>
      <c r="DF30" s="95"/>
      <c r="DG30" s="98"/>
      <c r="DH30" s="94"/>
      <c r="DI30" s="95"/>
      <c r="DJ30" s="96"/>
      <c r="DK30" s="97"/>
      <c r="DL30" s="95"/>
      <c r="DM30" s="96"/>
      <c r="DN30" s="97"/>
      <c r="DO30" s="95"/>
      <c r="DP30" s="96"/>
      <c r="DQ30" s="97"/>
      <c r="DR30" s="95"/>
      <c r="DS30" s="98"/>
      <c r="DT30" s="94"/>
      <c r="DU30" s="95"/>
      <c r="DV30" s="96"/>
      <c r="DW30" s="97"/>
      <c r="DX30" s="95"/>
      <c r="DY30" s="96"/>
      <c r="DZ30" s="97"/>
      <c r="EA30" s="95"/>
      <c r="EB30" s="96"/>
      <c r="EC30" s="97"/>
      <c r="ED30" s="95"/>
      <c r="EE30" s="98"/>
      <c r="EF30" s="94"/>
      <c r="EG30" s="95"/>
      <c r="EH30" s="96"/>
      <c r="EI30" s="97"/>
      <c r="EJ30" s="95"/>
      <c r="EK30" s="96"/>
      <c r="EL30" s="97"/>
      <c r="EM30" s="95"/>
      <c r="EN30" s="96"/>
      <c r="EO30" s="97"/>
      <c r="EP30" s="95"/>
      <c r="EQ30" s="98"/>
      <c r="ER30" s="94"/>
      <c r="ES30" s="95"/>
      <c r="ET30" s="96"/>
      <c r="EU30" s="97"/>
      <c r="EV30" s="95"/>
      <c r="EW30" s="96"/>
      <c r="EX30" s="97"/>
      <c r="EY30" s="95"/>
      <c r="EZ30" s="96"/>
      <c r="FA30" s="97"/>
      <c r="FB30" s="95"/>
      <c r="FC30" s="98"/>
      <c r="FD30" s="94"/>
      <c r="FE30" s="95"/>
      <c r="FF30" s="96"/>
      <c r="FG30" s="97"/>
      <c r="FH30" s="95"/>
      <c r="FI30" s="96"/>
      <c r="FJ30" s="97"/>
      <c r="FK30" s="95"/>
      <c r="FL30" s="96"/>
      <c r="FM30" s="97"/>
      <c r="FN30" s="95"/>
      <c r="FO30" s="98"/>
      <c r="FP30" s="94"/>
      <c r="FQ30" s="95"/>
      <c r="FR30" s="96"/>
      <c r="FS30" s="97"/>
      <c r="FT30" s="95"/>
      <c r="FU30" s="96"/>
      <c r="FV30" s="97"/>
      <c r="FW30" s="95"/>
      <c r="FX30" s="96"/>
      <c r="FY30" s="97"/>
      <c r="FZ30" s="95"/>
      <c r="GA30" s="98"/>
      <c r="GB30" s="94"/>
      <c r="GC30" s="95"/>
      <c r="GD30" s="96"/>
      <c r="GE30" s="97"/>
      <c r="GF30" s="95"/>
      <c r="GG30" s="96"/>
      <c r="GH30" s="97"/>
      <c r="GI30" s="95"/>
      <c r="GJ30" s="96"/>
      <c r="GK30" s="97"/>
      <c r="GL30" s="95"/>
      <c r="GM30" s="98"/>
      <c r="GN30" s="94"/>
      <c r="GO30" s="95"/>
      <c r="GP30" s="96"/>
      <c r="GQ30" s="97"/>
      <c r="GR30" s="95"/>
      <c r="GS30" s="96"/>
      <c r="GT30" s="97"/>
      <c r="GU30" s="95"/>
      <c r="GV30" s="96"/>
      <c r="GW30" s="97"/>
      <c r="GX30" s="95"/>
      <c r="GY30" s="98"/>
    </row>
    <row r="31" spans="2:207" ht="19.5" customHeight="1" x14ac:dyDescent="0.2">
      <c r="B31" s="118" t="str">
        <f>Donnees!$C$34</f>
        <v>?? : Installateur</v>
      </c>
      <c r="C31" s="99">
        <v>0</v>
      </c>
      <c r="D31" s="89"/>
      <c r="E31" s="90"/>
      <c r="F31" s="91"/>
      <c r="G31" s="92"/>
      <c r="H31" s="90"/>
      <c r="I31" s="91"/>
      <c r="J31" s="92"/>
      <c r="K31" s="90"/>
      <c r="L31" s="91"/>
      <c r="M31" s="92"/>
      <c r="N31" s="90"/>
      <c r="O31" s="93"/>
      <c r="P31" s="89"/>
      <c r="Q31" s="90"/>
      <c r="R31" s="91"/>
      <c r="S31" s="92"/>
      <c r="T31" s="90"/>
      <c r="U31" s="91"/>
      <c r="V31" s="92"/>
      <c r="W31" s="90"/>
      <c r="X31" s="91"/>
      <c r="Y31" s="92"/>
      <c r="Z31" s="90"/>
      <c r="AA31" s="93"/>
      <c r="AB31" s="89"/>
      <c r="AC31" s="90"/>
      <c r="AD31" s="91"/>
      <c r="AE31" s="92"/>
      <c r="AF31" s="90"/>
      <c r="AG31" s="91"/>
      <c r="AH31" s="92"/>
      <c r="AI31" s="90"/>
      <c r="AJ31" s="91"/>
      <c r="AK31" s="92"/>
      <c r="AL31" s="90"/>
      <c r="AM31" s="93"/>
      <c r="AN31" s="89"/>
      <c r="AO31" s="90"/>
      <c r="AP31" s="91"/>
      <c r="AQ31" s="92"/>
      <c r="AR31" s="90"/>
      <c r="AS31" s="91"/>
      <c r="AT31" s="92"/>
      <c r="AU31" s="90"/>
      <c r="AV31" s="91"/>
      <c r="AW31" s="92"/>
      <c r="AX31" s="90"/>
      <c r="AY31" s="93"/>
      <c r="AZ31" s="89"/>
      <c r="BA31" s="90"/>
      <c r="BB31" s="91"/>
      <c r="BC31" s="92"/>
      <c r="BD31" s="90"/>
      <c r="BE31" s="91"/>
      <c r="BF31" s="92"/>
      <c r="BG31" s="90"/>
      <c r="BH31" s="91"/>
      <c r="BI31" s="92"/>
      <c r="BJ31" s="90"/>
      <c r="BK31" s="93"/>
      <c r="BL31" s="89"/>
      <c r="BM31" s="90"/>
      <c r="BN31" s="91"/>
      <c r="BO31" s="92"/>
      <c r="BP31" s="90"/>
      <c r="BQ31" s="91"/>
      <c r="BR31" s="92"/>
      <c r="BS31" s="90"/>
      <c r="BT31" s="91"/>
      <c r="BU31" s="92"/>
      <c r="BV31" s="90"/>
      <c r="BW31" s="93"/>
      <c r="BX31" s="89"/>
      <c r="BY31" s="90"/>
      <c r="BZ31" s="91"/>
      <c r="CA31" s="92"/>
      <c r="CB31" s="90"/>
      <c r="CC31" s="91"/>
      <c r="CD31" s="92"/>
      <c r="CE31" s="90"/>
      <c r="CF31" s="91"/>
      <c r="CG31" s="92"/>
      <c r="CH31" s="90"/>
      <c r="CI31" s="93"/>
      <c r="CJ31" s="89"/>
      <c r="CK31" s="90"/>
      <c r="CL31" s="91"/>
      <c r="CM31" s="92"/>
      <c r="CN31" s="90"/>
      <c r="CO31" s="91"/>
      <c r="CP31" s="92"/>
      <c r="CQ31" s="90"/>
      <c r="CR31" s="91"/>
      <c r="CS31" s="92"/>
      <c r="CT31" s="90"/>
      <c r="CU31" s="93"/>
      <c r="CV31" s="89"/>
      <c r="CW31" s="90"/>
      <c r="CX31" s="91"/>
      <c r="CY31" s="92"/>
      <c r="CZ31" s="90"/>
      <c r="DA31" s="91"/>
      <c r="DB31" s="92"/>
      <c r="DC31" s="90"/>
      <c r="DD31" s="91"/>
      <c r="DE31" s="92"/>
      <c r="DF31" s="90"/>
      <c r="DG31" s="93"/>
      <c r="DH31" s="89"/>
      <c r="DI31" s="90"/>
      <c r="DJ31" s="91"/>
      <c r="DK31" s="92"/>
      <c r="DL31" s="90"/>
      <c r="DM31" s="91"/>
      <c r="DN31" s="92"/>
      <c r="DO31" s="90"/>
      <c r="DP31" s="91"/>
      <c r="DQ31" s="92"/>
      <c r="DR31" s="90"/>
      <c r="DS31" s="93"/>
      <c r="DT31" s="89"/>
      <c r="DU31" s="90"/>
      <c r="DV31" s="91"/>
      <c r="DW31" s="92"/>
      <c r="DX31" s="90"/>
      <c r="DY31" s="91"/>
      <c r="DZ31" s="92"/>
      <c r="EA31" s="90"/>
      <c r="EB31" s="91"/>
      <c r="EC31" s="92"/>
      <c r="ED31" s="90"/>
      <c r="EE31" s="93"/>
      <c r="EF31" s="89"/>
      <c r="EG31" s="90"/>
      <c r="EH31" s="91"/>
      <c r="EI31" s="92"/>
      <c r="EJ31" s="90"/>
      <c r="EK31" s="91"/>
      <c r="EL31" s="92"/>
      <c r="EM31" s="90"/>
      <c r="EN31" s="91"/>
      <c r="EO31" s="92"/>
      <c r="EP31" s="90"/>
      <c r="EQ31" s="93"/>
      <c r="ER31" s="89"/>
      <c r="ES31" s="90"/>
      <c r="ET31" s="91"/>
      <c r="EU31" s="92"/>
      <c r="EV31" s="90"/>
      <c r="EW31" s="91"/>
      <c r="EX31" s="92"/>
      <c r="EY31" s="90"/>
      <c r="EZ31" s="91"/>
      <c r="FA31" s="92"/>
      <c r="FB31" s="90"/>
      <c r="FC31" s="93"/>
      <c r="FD31" s="89"/>
      <c r="FE31" s="90"/>
      <c r="FF31" s="91"/>
      <c r="FG31" s="92"/>
      <c r="FH31" s="90"/>
      <c r="FI31" s="91"/>
      <c r="FJ31" s="92"/>
      <c r="FK31" s="90"/>
      <c r="FL31" s="91"/>
      <c r="FM31" s="92"/>
      <c r="FN31" s="90"/>
      <c r="FO31" s="93"/>
      <c r="FP31" s="89"/>
      <c r="FQ31" s="90"/>
      <c r="FR31" s="91"/>
      <c r="FS31" s="92"/>
      <c r="FT31" s="90"/>
      <c r="FU31" s="91"/>
      <c r="FV31" s="92"/>
      <c r="FW31" s="90"/>
      <c r="FX31" s="91"/>
      <c r="FY31" s="92"/>
      <c r="FZ31" s="90"/>
      <c r="GA31" s="93"/>
      <c r="GB31" s="89"/>
      <c r="GC31" s="90"/>
      <c r="GD31" s="91"/>
      <c r="GE31" s="92"/>
      <c r="GF31" s="90"/>
      <c r="GG31" s="91"/>
      <c r="GH31" s="92"/>
      <c r="GI31" s="90"/>
      <c r="GJ31" s="91"/>
      <c r="GK31" s="92"/>
      <c r="GL31" s="90"/>
      <c r="GM31" s="93"/>
      <c r="GN31" s="89"/>
      <c r="GO31" s="90"/>
      <c r="GP31" s="91"/>
      <c r="GQ31" s="92"/>
      <c r="GR31" s="90"/>
      <c r="GS31" s="91"/>
      <c r="GT31" s="92"/>
      <c r="GU31" s="90"/>
      <c r="GV31" s="91"/>
      <c r="GW31" s="92"/>
      <c r="GX31" s="90"/>
      <c r="GY31" s="93"/>
    </row>
    <row r="32" spans="2:207" ht="19.5" customHeight="1" thickBot="1" x14ac:dyDescent="0.25">
      <c r="B32" s="119"/>
      <c r="C32" s="100">
        <v>0</v>
      </c>
      <c r="D32" s="94"/>
      <c r="E32" s="95"/>
      <c r="F32" s="96"/>
      <c r="G32" s="97"/>
      <c r="H32" s="95"/>
      <c r="I32" s="96"/>
      <c r="J32" s="97"/>
      <c r="K32" s="95"/>
      <c r="L32" s="96"/>
      <c r="M32" s="97"/>
      <c r="N32" s="95"/>
      <c r="O32" s="98"/>
      <c r="P32" s="94"/>
      <c r="Q32" s="95"/>
      <c r="R32" s="96"/>
      <c r="S32" s="97"/>
      <c r="T32" s="95"/>
      <c r="U32" s="96"/>
      <c r="V32" s="97"/>
      <c r="W32" s="95"/>
      <c r="X32" s="96"/>
      <c r="Y32" s="97"/>
      <c r="Z32" s="95"/>
      <c r="AA32" s="98"/>
      <c r="AB32" s="94"/>
      <c r="AC32" s="95"/>
      <c r="AD32" s="96"/>
      <c r="AE32" s="97"/>
      <c r="AF32" s="95"/>
      <c r="AG32" s="96"/>
      <c r="AH32" s="97"/>
      <c r="AI32" s="95"/>
      <c r="AJ32" s="96"/>
      <c r="AK32" s="97"/>
      <c r="AL32" s="95"/>
      <c r="AM32" s="98"/>
      <c r="AN32" s="94"/>
      <c r="AO32" s="95"/>
      <c r="AP32" s="96"/>
      <c r="AQ32" s="97"/>
      <c r="AR32" s="95"/>
      <c r="AS32" s="96"/>
      <c r="AT32" s="97"/>
      <c r="AU32" s="95"/>
      <c r="AV32" s="96"/>
      <c r="AW32" s="97"/>
      <c r="AX32" s="95"/>
      <c r="AY32" s="98"/>
      <c r="AZ32" s="94"/>
      <c r="BA32" s="95"/>
      <c r="BB32" s="96"/>
      <c r="BC32" s="97"/>
      <c r="BD32" s="95"/>
      <c r="BE32" s="96"/>
      <c r="BF32" s="97"/>
      <c r="BG32" s="95"/>
      <c r="BH32" s="96"/>
      <c r="BI32" s="97"/>
      <c r="BJ32" s="95"/>
      <c r="BK32" s="98"/>
      <c r="BL32" s="94"/>
      <c r="BM32" s="95"/>
      <c r="BN32" s="96"/>
      <c r="BO32" s="97"/>
      <c r="BP32" s="95"/>
      <c r="BQ32" s="96"/>
      <c r="BR32" s="97"/>
      <c r="BS32" s="95"/>
      <c r="BT32" s="96"/>
      <c r="BU32" s="97"/>
      <c r="BV32" s="95"/>
      <c r="BW32" s="98"/>
      <c r="BX32" s="94"/>
      <c r="BY32" s="95"/>
      <c r="BZ32" s="96"/>
      <c r="CA32" s="97"/>
      <c r="CB32" s="95"/>
      <c r="CC32" s="96"/>
      <c r="CD32" s="97"/>
      <c r="CE32" s="95"/>
      <c r="CF32" s="96"/>
      <c r="CG32" s="97"/>
      <c r="CH32" s="95"/>
      <c r="CI32" s="98"/>
      <c r="CJ32" s="94"/>
      <c r="CK32" s="95"/>
      <c r="CL32" s="96"/>
      <c r="CM32" s="97"/>
      <c r="CN32" s="95"/>
      <c r="CO32" s="96"/>
      <c r="CP32" s="97"/>
      <c r="CQ32" s="95"/>
      <c r="CR32" s="96"/>
      <c r="CS32" s="97"/>
      <c r="CT32" s="95"/>
      <c r="CU32" s="98"/>
      <c r="CV32" s="94"/>
      <c r="CW32" s="95"/>
      <c r="CX32" s="96"/>
      <c r="CY32" s="97"/>
      <c r="CZ32" s="95"/>
      <c r="DA32" s="96"/>
      <c r="DB32" s="97"/>
      <c r="DC32" s="95"/>
      <c r="DD32" s="96"/>
      <c r="DE32" s="97"/>
      <c r="DF32" s="95"/>
      <c r="DG32" s="98"/>
      <c r="DH32" s="94"/>
      <c r="DI32" s="95"/>
      <c r="DJ32" s="96"/>
      <c r="DK32" s="97"/>
      <c r="DL32" s="95"/>
      <c r="DM32" s="96"/>
      <c r="DN32" s="97"/>
      <c r="DO32" s="95"/>
      <c r="DP32" s="96"/>
      <c r="DQ32" s="97"/>
      <c r="DR32" s="95"/>
      <c r="DS32" s="98"/>
      <c r="DT32" s="94"/>
      <c r="DU32" s="95"/>
      <c r="DV32" s="96"/>
      <c r="DW32" s="97"/>
      <c r="DX32" s="95"/>
      <c r="DY32" s="96"/>
      <c r="DZ32" s="97"/>
      <c r="EA32" s="95"/>
      <c r="EB32" s="96"/>
      <c r="EC32" s="97"/>
      <c r="ED32" s="95"/>
      <c r="EE32" s="98"/>
      <c r="EF32" s="94"/>
      <c r="EG32" s="95"/>
      <c r="EH32" s="96"/>
      <c r="EI32" s="97"/>
      <c r="EJ32" s="95"/>
      <c r="EK32" s="96"/>
      <c r="EL32" s="97"/>
      <c r="EM32" s="95"/>
      <c r="EN32" s="96"/>
      <c r="EO32" s="97"/>
      <c r="EP32" s="95"/>
      <c r="EQ32" s="98"/>
      <c r="ER32" s="94"/>
      <c r="ES32" s="95"/>
      <c r="ET32" s="96"/>
      <c r="EU32" s="97"/>
      <c r="EV32" s="95"/>
      <c r="EW32" s="96"/>
      <c r="EX32" s="97"/>
      <c r="EY32" s="95"/>
      <c r="EZ32" s="96"/>
      <c r="FA32" s="97"/>
      <c r="FB32" s="95"/>
      <c r="FC32" s="98"/>
      <c r="FD32" s="94"/>
      <c r="FE32" s="95"/>
      <c r="FF32" s="96"/>
      <c r="FG32" s="97"/>
      <c r="FH32" s="95"/>
      <c r="FI32" s="96"/>
      <c r="FJ32" s="97"/>
      <c r="FK32" s="95"/>
      <c r="FL32" s="96"/>
      <c r="FM32" s="97"/>
      <c r="FN32" s="95"/>
      <c r="FO32" s="98"/>
      <c r="FP32" s="94"/>
      <c r="FQ32" s="95"/>
      <c r="FR32" s="96"/>
      <c r="FS32" s="97"/>
      <c r="FT32" s="95"/>
      <c r="FU32" s="96"/>
      <c r="FV32" s="97"/>
      <c r="FW32" s="95"/>
      <c r="FX32" s="96"/>
      <c r="FY32" s="97"/>
      <c r="FZ32" s="95"/>
      <c r="GA32" s="98"/>
      <c r="GB32" s="94"/>
      <c r="GC32" s="95"/>
      <c r="GD32" s="96"/>
      <c r="GE32" s="97"/>
      <c r="GF32" s="95"/>
      <c r="GG32" s="96"/>
      <c r="GH32" s="97"/>
      <c r="GI32" s="95"/>
      <c r="GJ32" s="96"/>
      <c r="GK32" s="97"/>
      <c r="GL32" s="95"/>
      <c r="GM32" s="98"/>
      <c r="GN32" s="94"/>
      <c r="GO32" s="95"/>
      <c r="GP32" s="96"/>
      <c r="GQ32" s="97"/>
      <c r="GR32" s="95"/>
      <c r="GS32" s="96"/>
      <c r="GT32" s="97"/>
      <c r="GU32" s="95"/>
      <c r="GV32" s="96"/>
      <c r="GW32" s="97"/>
      <c r="GX32" s="95"/>
      <c r="GY32" s="98"/>
    </row>
    <row r="33" spans="2:207" ht="19.5" customHeight="1" x14ac:dyDescent="0.2">
      <c r="B33" s="118" t="str">
        <f>Donnees!$C$35</f>
        <v>Autre : Brainstorm</v>
      </c>
      <c r="C33" s="99">
        <v>48</v>
      </c>
      <c r="D33" s="89"/>
      <c r="E33" s="90"/>
      <c r="F33" s="91"/>
      <c r="G33" s="92"/>
      <c r="H33" s="90"/>
      <c r="I33" s="91"/>
      <c r="J33" s="92"/>
      <c r="K33" s="90"/>
      <c r="L33" s="91"/>
      <c r="M33" s="92"/>
      <c r="N33" s="90"/>
      <c r="O33" s="93"/>
      <c r="P33" s="89"/>
      <c r="Q33" s="90"/>
      <c r="R33" s="91"/>
      <c r="S33" s="92"/>
      <c r="T33" s="90"/>
      <c r="U33" s="91"/>
      <c r="V33" s="92"/>
      <c r="W33" s="90"/>
      <c r="X33" s="91"/>
      <c r="Y33" s="92"/>
      <c r="Z33" s="90"/>
      <c r="AA33" s="93"/>
      <c r="AB33" s="89"/>
      <c r="AC33" s="90"/>
      <c r="AD33" s="91"/>
      <c r="AE33" s="92"/>
      <c r="AF33" s="90"/>
      <c r="AG33" s="91"/>
      <c r="AH33" s="92"/>
      <c r="AI33" s="90"/>
      <c r="AJ33" s="91"/>
      <c r="AK33" s="92"/>
      <c r="AL33" s="90"/>
      <c r="AM33" s="93"/>
      <c r="AN33" s="89"/>
      <c r="AO33" s="90"/>
      <c r="AP33" s="91"/>
      <c r="AQ33" s="92"/>
      <c r="AR33" s="90"/>
      <c r="AS33" s="91"/>
      <c r="AT33" s="92"/>
      <c r="AU33" s="90"/>
      <c r="AV33" s="91"/>
      <c r="AW33" s="92"/>
      <c r="AX33" s="90"/>
      <c r="AY33" s="93"/>
      <c r="AZ33" s="89"/>
      <c r="BA33" s="90"/>
      <c r="BB33" s="91"/>
      <c r="BC33" s="92"/>
      <c r="BD33" s="90"/>
      <c r="BE33" s="91"/>
      <c r="BF33" s="92"/>
      <c r="BG33" s="90"/>
      <c r="BH33" s="91"/>
      <c r="BI33" s="92"/>
      <c r="BJ33" s="90"/>
      <c r="BK33" s="93"/>
      <c r="BL33" s="89"/>
      <c r="BM33" s="90"/>
      <c r="BN33" s="91"/>
      <c r="BO33" s="92"/>
      <c r="BP33" s="90"/>
      <c r="BQ33" s="91"/>
      <c r="BR33" s="92"/>
      <c r="BS33" s="90"/>
      <c r="BT33" s="91"/>
      <c r="BU33" s="92"/>
      <c r="BV33" s="90"/>
      <c r="BW33" s="93"/>
      <c r="BX33" s="89"/>
      <c r="BY33" s="90"/>
      <c r="BZ33" s="91"/>
      <c r="CA33" s="92"/>
      <c r="CB33" s="90"/>
      <c r="CC33" s="91"/>
      <c r="CD33" s="92"/>
      <c r="CE33" s="90"/>
      <c r="CF33" s="91"/>
      <c r="CG33" s="92"/>
      <c r="CH33" s="90"/>
      <c r="CI33" s="93"/>
      <c r="CJ33" s="89"/>
      <c r="CK33" s="90"/>
      <c r="CL33" s="91"/>
      <c r="CM33" s="92"/>
      <c r="CN33" s="90"/>
      <c r="CO33" s="91"/>
      <c r="CP33" s="92"/>
      <c r="CQ33" s="90"/>
      <c r="CR33" s="91"/>
      <c r="CS33" s="92"/>
      <c r="CT33" s="90"/>
      <c r="CU33" s="93"/>
      <c r="CV33" s="89"/>
      <c r="CW33" s="90"/>
      <c r="CX33" s="91"/>
      <c r="CY33" s="92"/>
      <c r="CZ33" s="90"/>
      <c r="DA33" s="91"/>
      <c r="DB33" s="92"/>
      <c r="DC33" s="90"/>
      <c r="DD33" s="91"/>
      <c r="DE33" s="92"/>
      <c r="DF33" s="90"/>
      <c r="DG33" s="93"/>
      <c r="DH33" s="89"/>
      <c r="DI33" s="90"/>
      <c r="DJ33" s="91"/>
      <c r="DK33" s="92"/>
      <c r="DL33" s="90"/>
      <c r="DM33" s="91"/>
      <c r="DN33" s="92"/>
      <c r="DO33" s="90"/>
      <c r="DP33" s="91"/>
      <c r="DQ33" s="92"/>
      <c r="DR33" s="90"/>
      <c r="DS33" s="93"/>
      <c r="DT33" s="89"/>
      <c r="DU33" s="90"/>
      <c r="DV33" s="91"/>
      <c r="DW33" s="92"/>
      <c r="DX33" s="90"/>
      <c r="DY33" s="91"/>
      <c r="DZ33" s="92"/>
      <c r="EA33" s="90"/>
      <c r="EB33" s="91"/>
      <c r="EC33" s="92"/>
      <c r="ED33" s="90"/>
      <c r="EE33" s="93"/>
      <c r="EF33" s="89"/>
      <c r="EG33" s="90"/>
      <c r="EH33" s="91"/>
      <c r="EI33" s="92"/>
      <c r="EJ33" s="90"/>
      <c r="EK33" s="91"/>
      <c r="EL33" s="92"/>
      <c r="EM33" s="90"/>
      <c r="EN33" s="91"/>
      <c r="EO33" s="92"/>
      <c r="EP33" s="90"/>
      <c r="EQ33" s="93"/>
      <c r="ER33" s="89"/>
      <c r="ES33" s="90"/>
      <c r="ET33" s="91"/>
      <c r="EU33" s="92"/>
      <c r="EV33" s="90"/>
      <c r="EW33" s="91"/>
      <c r="EX33" s="92"/>
      <c r="EY33" s="90"/>
      <c r="EZ33" s="91"/>
      <c r="FA33" s="92"/>
      <c r="FB33" s="90"/>
      <c r="FC33" s="93"/>
      <c r="FD33" s="108"/>
      <c r="FE33" s="109"/>
      <c r="FF33" s="110"/>
      <c r="FG33" s="111"/>
      <c r="FH33" s="109"/>
      <c r="FI33" s="110"/>
      <c r="FJ33" s="111"/>
      <c r="FK33" s="109"/>
      <c r="FL33" s="110"/>
      <c r="FM33" s="111"/>
      <c r="FN33" s="109"/>
      <c r="FO33" s="112"/>
      <c r="FP33" s="108"/>
      <c r="FQ33" s="109"/>
      <c r="FR33" s="110"/>
      <c r="FS33" s="111"/>
      <c r="FT33" s="109"/>
      <c r="FU33" s="110"/>
      <c r="FV33" s="111"/>
      <c r="FW33" s="109"/>
      <c r="FX33" s="110"/>
      <c r="FY33" s="111"/>
      <c r="FZ33" s="109"/>
      <c r="GA33" s="112"/>
      <c r="GB33" s="108"/>
      <c r="GC33" s="109"/>
      <c r="GD33" s="110"/>
      <c r="GE33" s="111"/>
      <c r="GF33" s="109"/>
      <c r="GG33" s="110"/>
      <c r="GH33" s="111"/>
      <c r="GI33" s="109"/>
      <c r="GJ33" s="110"/>
      <c r="GK33" s="111"/>
      <c r="GL33" s="109"/>
      <c r="GM33" s="112"/>
      <c r="GN33" s="108"/>
      <c r="GO33" s="109"/>
      <c r="GP33" s="110"/>
      <c r="GQ33" s="111"/>
      <c r="GR33" s="109"/>
      <c r="GS33" s="110"/>
      <c r="GT33" s="111"/>
      <c r="GU33" s="109"/>
      <c r="GV33" s="110"/>
      <c r="GW33" s="111"/>
      <c r="GX33" s="109"/>
      <c r="GY33" s="112"/>
    </row>
    <row r="34" spans="2:207" ht="19.5" customHeight="1" x14ac:dyDescent="0.2">
      <c r="B34" s="119"/>
      <c r="C34" s="100">
        <v>1</v>
      </c>
      <c r="D34" s="94"/>
      <c r="E34" s="95"/>
      <c r="F34" s="96"/>
      <c r="G34" s="97"/>
      <c r="H34" s="95"/>
      <c r="I34" s="96"/>
      <c r="J34" s="128"/>
      <c r="K34" s="95"/>
      <c r="L34" s="96"/>
      <c r="M34" s="97"/>
      <c r="N34" s="95"/>
      <c r="O34" s="98"/>
      <c r="P34" s="94"/>
      <c r="Q34" s="95"/>
      <c r="R34" s="96"/>
      <c r="S34" s="97"/>
      <c r="T34" s="95"/>
      <c r="U34" s="96"/>
      <c r="V34" s="97"/>
      <c r="W34" s="95"/>
      <c r="X34" s="96"/>
      <c r="Y34" s="97"/>
      <c r="Z34" s="95"/>
      <c r="AA34" s="98"/>
      <c r="AB34" s="94"/>
      <c r="AC34" s="95"/>
      <c r="AD34" s="96"/>
      <c r="AE34" s="97"/>
      <c r="AF34" s="95"/>
      <c r="AG34" s="96"/>
      <c r="AH34" s="97"/>
      <c r="AI34" s="95"/>
      <c r="AJ34" s="96"/>
      <c r="AK34" s="97"/>
      <c r="AL34" s="95"/>
      <c r="AM34" s="98"/>
      <c r="AN34" s="94"/>
      <c r="AO34" s="95"/>
      <c r="AP34" s="96"/>
      <c r="AQ34" s="97"/>
      <c r="AR34" s="95"/>
      <c r="AS34" s="96"/>
      <c r="AT34" s="97"/>
      <c r="AU34" s="95"/>
      <c r="AV34" s="96"/>
      <c r="AW34" s="97"/>
      <c r="AX34" s="95"/>
      <c r="AY34" s="98"/>
      <c r="AZ34" s="94"/>
      <c r="BA34" s="95"/>
      <c r="BB34" s="96"/>
      <c r="BC34" s="97"/>
      <c r="BD34" s="95"/>
      <c r="BE34" s="96"/>
      <c r="BF34" s="97"/>
      <c r="BG34" s="95"/>
      <c r="BH34" s="96"/>
      <c r="BI34" s="97"/>
      <c r="BJ34" s="95"/>
      <c r="BK34" s="98"/>
      <c r="BL34" s="94"/>
      <c r="BM34" s="95"/>
      <c r="BN34" s="96"/>
      <c r="BO34" s="97"/>
      <c r="BP34" s="95"/>
      <c r="BQ34" s="96"/>
      <c r="BR34" s="97"/>
      <c r="BS34" s="95"/>
      <c r="BT34" s="96"/>
      <c r="BU34" s="97"/>
      <c r="BV34" s="95"/>
      <c r="BW34" s="98"/>
      <c r="BX34" s="94"/>
      <c r="BY34" s="95"/>
      <c r="BZ34" s="96"/>
      <c r="CA34" s="97"/>
      <c r="CB34" s="95"/>
      <c r="CC34" s="96"/>
      <c r="CD34" s="97"/>
      <c r="CE34" s="95"/>
      <c r="CF34" s="96"/>
      <c r="CG34" s="97"/>
      <c r="CH34" s="95"/>
      <c r="CI34" s="98"/>
      <c r="CJ34" s="94"/>
      <c r="CK34" s="95"/>
      <c r="CL34" s="96"/>
      <c r="CM34" s="97"/>
      <c r="CN34" s="95"/>
      <c r="CO34" s="96"/>
      <c r="CP34" s="97"/>
      <c r="CQ34" s="95"/>
      <c r="CR34" s="96"/>
      <c r="CS34" s="97"/>
      <c r="CT34" s="95"/>
      <c r="CU34" s="98"/>
      <c r="CV34" s="94"/>
      <c r="CW34" s="95"/>
      <c r="CX34" s="96"/>
      <c r="CY34" s="97"/>
      <c r="CZ34" s="95"/>
      <c r="DA34" s="96"/>
      <c r="DB34" s="97"/>
      <c r="DC34" s="95"/>
      <c r="DD34" s="96"/>
      <c r="DE34" s="97"/>
      <c r="DF34" s="95"/>
      <c r="DG34" s="98"/>
      <c r="DH34" s="94"/>
      <c r="DI34" s="95"/>
      <c r="DJ34" s="96"/>
      <c r="DK34" s="97"/>
      <c r="DL34" s="95"/>
      <c r="DM34" s="96"/>
      <c r="DN34" s="97"/>
      <c r="DO34" s="95"/>
      <c r="DP34" s="96"/>
      <c r="DQ34" s="97"/>
      <c r="DR34" s="95"/>
      <c r="DS34" s="98"/>
      <c r="DT34" s="94"/>
      <c r="DU34" s="95"/>
      <c r="DV34" s="96"/>
      <c r="DW34" s="97"/>
      <c r="DX34" s="95"/>
      <c r="DY34" s="96"/>
      <c r="DZ34" s="97"/>
      <c r="EA34" s="95"/>
      <c r="EB34" s="96"/>
      <c r="EC34" s="97"/>
      <c r="ED34" s="95"/>
      <c r="EE34" s="98"/>
      <c r="EF34" s="94"/>
      <c r="EG34" s="95"/>
      <c r="EH34" s="96"/>
      <c r="EI34" s="97"/>
      <c r="EJ34" s="95"/>
      <c r="EK34" s="96"/>
      <c r="EL34" s="97"/>
      <c r="EM34" s="95"/>
      <c r="EN34" s="96"/>
      <c r="EO34" s="97"/>
      <c r="EP34" s="95"/>
      <c r="EQ34" s="98"/>
      <c r="ER34" s="94"/>
      <c r="ES34" s="95"/>
      <c r="ET34" s="96"/>
      <c r="EU34" s="97"/>
      <c r="EV34" s="95"/>
      <c r="EW34" s="96"/>
      <c r="EX34" s="97"/>
      <c r="EY34" s="95"/>
      <c r="EZ34" s="96"/>
      <c r="FA34" s="97"/>
      <c r="FB34" s="95"/>
      <c r="FC34" s="98"/>
      <c r="FD34" s="94"/>
      <c r="FE34" s="95"/>
      <c r="FF34" s="96"/>
      <c r="FG34" s="97"/>
      <c r="FH34" s="95"/>
      <c r="FI34" s="96"/>
      <c r="FJ34" s="97"/>
      <c r="FK34" s="95"/>
      <c r="FL34" s="96"/>
      <c r="FM34" s="97"/>
      <c r="FN34" s="95"/>
      <c r="FO34" s="98"/>
      <c r="FP34" s="94"/>
      <c r="FQ34" s="95"/>
      <c r="FR34" s="96"/>
      <c r="FS34" s="97"/>
      <c r="FT34" s="95"/>
      <c r="FU34" s="96"/>
      <c r="FV34" s="97"/>
      <c r="FW34" s="95"/>
      <c r="FX34" s="96"/>
      <c r="FY34" s="97"/>
      <c r="FZ34" s="95"/>
      <c r="GA34" s="98"/>
      <c r="GB34" s="94"/>
      <c r="GC34" s="95"/>
      <c r="GD34" s="96"/>
      <c r="GE34" s="97"/>
      <c r="GF34" s="95"/>
      <c r="GG34" s="96"/>
      <c r="GH34" s="97"/>
      <c r="GI34" s="95"/>
      <c r="GJ34" s="96"/>
      <c r="GK34" s="97"/>
      <c r="GL34" s="95"/>
      <c r="GM34" s="98"/>
      <c r="GN34" s="94"/>
      <c r="GO34" s="95"/>
      <c r="GP34" s="96"/>
      <c r="GQ34" s="97"/>
      <c r="GR34" s="95"/>
      <c r="GS34" s="96"/>
      <c r="GT34" s="97"/>
      <c r="GU34" s="95"/>
      <c r="GV34" s="96"/>
      <c r="GW34" s="97"/>
      <c r="GX34" s="95"/>
      <c r="GY34" s="98"/>
    </row>
    <row r="35" spans="2:207" ht="19.5" customHeight="1" x14ac:dyDescent="0.2">
      <c r="B35" s="47" t="s">
        <v>16</v>
      </c>
      <c r="C35" s="49">
        <f>SUM($C$3,$C$5,$C$7,$C$9,$C$11,$C$13,$C$15,$C$17,$C$19,$C$21,$C$23,$C$25,$C$27,$C$29,$C$31,$C$33)</f>
        <v>204</v>
      </c>
      <c r="D35" s="102"/>
      <c r="E35" s="103"/>
      <c r="F35" s="103"/>
      <c r="G35" s="103"/>
      <c r="H35" s="103"/>
      <c r="I35" s="103"/>
      <c r="J35" s="103"/>
      <c r="K35" s="103"/>
      <c r="L35" s="103"/>
      <c r="M35" s="103"/>
      <c r="N35" s="103"/>
      <c r="O35" s="104"/>
      <c r="P35" s="102"/>
      <c r="Q35" s="103"/>
      <c r="R35" s="103"/>
      <c r="S35" s="103"/>
      <c r="T35" s="103"/>
      <c r="U35" s="103"/>
      <c r="V35" s="103"/>
      <c r="W35" s="103"/>
      <c r="X35" s="103"/>
      <c r="Y35" s="103"/>
      <c r="Z35" s="103"/>
      <c r="AA35" s="104"/>
      <c r="AB35" s="102"/>
      <c r="AC35" s="103"/>
      <c r="AD35" s="103"/>
      <c r="AE35" s="103"/>
      <c r="AF35" s="103"/>
      <c r="AG35" s="103"/>
      <c r="AH35" s="103"/>
      <c r="AI35" s="103"/>
      <c r="AJ35" s="103"/>
      <c r="AK35" s="103"/>
      <c r="AL35" s="103"/>
      <c r="AM35" s="104"/>
      <c r="AN35" s="102"/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4"/>
      <c r="AZ35" s="102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4"/>
      <c r="BL35" s="102"/>
      <c r="BM35" s="103"/>
      <c r="BN35" s="103"/>
      <c r="BO35" s="103"/>
      <c r="BP35" s="103"/>
      <c r="BQ35" s="103"/>
      <c r="BR35" s="103"/>
      <c r="BS35" s="103"/>
      <c r="BT35" s="103"/>
      <c r="BU35" s="103"/>
      <c r="BV35" s="103"/>
      <c r="BW35" s="104"/>
      <c r="BX35" s="102"/>
      <c r="BY35" s="103"/>
      <c r="BZ35" s="103"/>
      <c r="CA35" s="103"/>
      <c r="CB35" s="103"/>
      <c r="CC35" s="103"/>
      <c r="CD35" s="103"/>
      <c r="CE35" s="103"/>
      <c r="CF35" s="103"/>
      <c r="CG35" s="103"/>
      <c r="CH35" s="103"/>
      <c r="CI35" s="104"/>
      <c r="CJ35" s="102"/>
      <c r="CK35" s="103"/>
      <c r="CL35" s="103"/>
      <c r="CM35" s="103"/>
      <c r="CN35" s="103"/>
      <c r="CO35" s="103"/>
      <c r="CP35" s="103"/>
      <c r="CQ35" s="103"/>
      <c r="CR35" s="103"/>
      <c r="CS35" s="103"/>
      <c r="CT35" s="103"/>
      <c r="CU35" s="104"/>
      <c r="CV35" s="102"/>
      <c r="CW35" s="103"/>
      <c r="CX35" s="103"/>
      <c r="CY35" s="103"/>
      <c r="CZ35" s="103"/>
      <c r="DA35" s="103"/>
      <c r="DB35" s="103"/>
      <c r="DC35" s="103"/>
      <c r="DD35" s="103"/>
      <c r="DE35" s="103"/>
      <c r="DF35" s="103"/>
      <c r="DG35" s="104"/>
      <c r="DH35" s="102"/>
      <c r="DI35" s="103"/>
      <c r="DJ35" s="103"/>
      <c r="DK35" s="103"/>
      <c r="DL35" s="103"/>
      <c r="DM35" s="103"/>
      <c r="DN35" s="103"/>
      <c r="DO35" s="103"/>
      <c r="DP35" s="103"/>
      <c r="DQ35" s="103"/>
      <c r="DR35" s="103"/>
      <c r="DS35" s="104"/>
      <c r="DT35" s="102"/>
      <c r="DU35" s="103"/>
      <c r="DV35" s="103"/>
      <c r="DW35" s="103"/>
      <c r="DX35" s="103"/>
      <c r="DY35" s="103"/>
      <c r="DZ35" s="103"/>
      <c r="EA35" s="103"/>
      <c r="EB35" s="103"/>
      <c r="EC35" s="103"/>
      <c r="ED35" s="103"/>
      <c r="EE35" s="104"/>
      <c r="EF35" s="102"/>
      <c r="EG35" s="103"/>
      <c r="EH35" s="103"/>
      <c r="EI35" s="103"/>
      <c r="EJ35" s="103"/>
      <c r="EK35" s="103"/>
      <c r="EL35" s="103"/>
      <c r="EM35" s="103"/>
      <c r="EN35" s="103"/>
      <c r="EO35" s="103"/>
      <c r="EP35" s="103"/>
      <c r="EQ35" s="104"/>
      <c r="ER35" s="102"/>
      <c r="ES35" s="103"/>
      <c r="ET35" s="103"/>
      <c r="EU35" s="103"/>
      <c r="EV35" s="103"/>
      <c r="EW35" s="103"/>
      <c r="EX35" s="103"/>
      <c r="EY35" s="103"/>
      <c r="EZ35" s="103"/>
      <c r="FA35" s="103"/>
      <c r="FB35" s="103"/>
      <c r="FC35" s="104"/>
      <c r="FD35" s="102"/>
      <c r="FE35" s="103"/>
      <c r="FF35" s="103"/>
      <c r="FG35" s="103"/>
      <c r="FH35" s="103"/>
      <c r="FI35" s="103"/>
      <c r="FJ35" s="103"/>
      <c r="FK35" s="103"/>
      <c r="FL35" s="103"/>
      <c r="FM35" s="103"/>
      <c r="FN35" s="103"/>
      <c r="FO35" s="104"/>
      <c r="FP35" s="102"/>
      <c r="FQ35" s="103"/>
      <c r="FR35" s="103"/>
      <c r="FS35" s="103"/>
      <c r="FT35" s="103"/>
      <c r="FU35" s="103"/>
      <c r="FV35" s="103"/>
      <c r="FW35" s="103"/>
      <c r="FX35" s="103"/>
      <c r="FY35" s="103"/>
      <c r="FZ35" s="103"/>
      <c r="GA35" s="104"/>
      <c r="GB35" s="102"/>
      <c r="GC35" s="103"/>
      <c r="GD35" s="103"/>
      <c r="GE35" s="103"/>
      <c r="GF35" s="103"/>
      <c r="GG35" s="103"/>
      <c r="GH35" s="103"/>
      <c r="GI35" s="103"/>
      <c r="GJ35" s="103"/>
      <c r="GK35" s="103"/>
      <c r="GL35" s="103"/>
      <c r="GM35" s="104"/>
      <c r="GN35" s="102"/>
      <c r="GO35" s="103"/>
      <c r="GP35" s="103"/>
      <c r="GQ35" s="103"/>
      <c r="GR35" s="103"/>
      <c r="GS35" s="103"/>
      <c r="GT35" s="103"/>
      <c r="GU35" s="103"/>
      <c r="GV35" s="103"/>
      <c r="GW35" s="103"/>
      <c r="GX35" s="103"/>
      <c r="GY35" s="104"/>
    </row>
    <row r="36" spans="2:207" ht="19.5" customHeight="1" thickBot="1" x14ac:dyDescent="0.25">
      <c r="B36" s="48" t="s">
        <v>17</v>
      </c>
      <c r="C36" s="50">
        <f>SUM($C$4,$C$6,$C$8,$C$10,$C$12,$C$14,$C$16,$C$18,$C$20,$C$22,$C$24,$C$26,$C$28,$C$30,$C$32,$C$34)</f>
        <v>7</v>
      </c>
      <c r="D36" s="105"/>
      <c r="E36" s="106"/>
      <c r="F36" s="106"/>
      <c r="G36" s="106"/>
      <c r="H36" s="106"/>
      <c r="I36" s="106"/>
      <c r="J36" s="106"/>
      <c r="K36" s="106"/>
      <c r="L36" s="106"/>
      <c r="M36" s="106"/>
      <c r="N36" s="106"/>
      <c r="O36" s="107"/>
      <c r="P36" s="105"/>
      <c r="Q36" s="106"/>
      <c r="R36" s="106"/>
      <c r="S36" s="106"/>
      <c r="T36" s="106"/>
      <c r="U36" s="106"/>
      <c r="V36" s="106"/>
      <c r="W36" s="106"/>
      <c r="X36" s="106"/>
      <c r="Y36" s="106"/>
      <c r="Z36" s="106"/>
      <c r="AA36" s="107"/>
      <c r="AB36" s="105"/>
      <c r="AC36" s="106"/>
      <c r="AD36" s="106"/>
      <c r="AE36" s="106"/>
      <c r="AF36" s="106"/>
      <c r="AG36" s="106"/>
      <c r="AH36" s="106"/>
      <c r="AI36" s="106"/>
      <c r="AJ36" s="106"/>
      <c r="AK36" s="106"/>
      <c r="AL36" s="106"/>
      <c r="AM36" s="107"/>
      <c r="AN36" s="105"/>
      <c r="AO36" s="106"/>
      <c r="AP36" s="106"/>
      <c r="AQ36" s="106"/>
      <c r="AR36" s="106"/>
      <c r="AS36" s="106"/>
      <c r="AT36" s="106"/>
      <c r="AU36" s="106"/>
      <c r="AV36" s="106"/>
      <c r="AW36" s="106"/>
      <c r="AX36" s="106"/>
      <c r="AY36" s="107"/>
      <c r="AZ36" s="105"/>
      <c r="BA36" s="106"/>
      <c r="BB36" s="106"/>
      <c r="BC36" s="106"/>
      <c r="BD36" s="106"/>
      <c r="BE36" s="106"/>
      <c r="BF36" s="106"/>
      <c r="BG36" s="106"/>
      <c r="BH36" s="106"/>
      <c r="BI36" s="106"/>
      <c r="BJ36" s="106"/>
      <c r="BK36" s="107"/>
      <c r="BL36" s="105"/>
      <c r="BM36" s="106"/>
      <c r="BN36" s="106"/>
      <c r="BO36" s="106"/>
      <c r="BP36" s="106"/>
      <c r="BQ36" s="106"/>
      <c r="BR36" s="106"/>
      <c r="BS36" s="106"/>
      <c r="BT36" s="106"/>
      <c r="BU36" s="106"/>
      <c r="BV36" s="106"/>
      <c r="BW36" s="107"/>
      <c r="BX36" s="105"/>
      <c r="BY36" s="106"/>
      <c r="BZ36" s="106"/>
      <c r="CA36" s="106"/>
      <c r="CB36" s="106"/>
      <c r="CC36" s="106"/>
      <c r="CD36" s="106"/>
      <c r="CE36" s="106"/>
      <c r="CF36" s="106"/>
      <c r="CG36" s="106"/>
      <c r="CH36" s="106"/>
      <c r="CI36" s="107"/>
      <c r="CJ36" s="105"/>
      <c r="CK36" s="106"/>
      <c r="CL36" s="106"/>
      <c r="CM36" s="106"/>
      <c r="CN36" s="106"/>
      <c r="CO36" s="106"/>
      <c r="CP36" s="106"/>
      <c r="CQ36" s="106"/>
      <c r="CR36" s="106"/>
      <c r="CS36" s="106"/>
      <c r="CT36" s="106"/>
      <c r="CU36" s="107"/>
      <c r="CV36" s="105"/>
      <c r="CW36" s="106"/>
      <c r="CX36" s="106"/>
      <c r="CY36" s="106"/>
      <c r="CZ36" s="106"/>
      <c r="DA36" s="106"/>
      <c r="DB36" s="106"/>
      <c r="DC36" s="106"/>
      <c r="DD36" s="106"/>
      <c r="DE36" s="106"/>
      <c r="DF36" s="106"/>
      <c r="DG36" s="107"/>
      <c r="DH36" s="105"/>
      <c r="DI36" s="106"/>
      <c r="DJ36" s="106"/>
      <c r="DK36" s="106"/>
      <c r="DL36" s="106"/>
      <c r="DM36" s="106"/>
      <c r="DN36" s="106"/>
      <c r="DO36" s="106"/>
      <c r="DP36" s="106"/>
      <c r="DQ36" s="106"/>
      <c r="DR36" s="106"/>
      <c r="DS36" s="107"/>
      <c r="DT36" s="105"/>
      <c r="DU36" s="106"/>
      <c r="DV36" s="106"/>
      <c r="DW36" s="106"/>
      <c r="DX36" s="106"/>
      <c r="DY36" s="106"/>
      <c r="DZ36" s="106"/>
      <c r="EA36" s="106"/>
      <c r="EB36" s="106"/>
      <c r="EC36" s="106"/>
      <c r="ED36" s="106"/>
      <c r="EE36" s="107"/>
      <c r="EF36" s="105"/>
      <c r="EG36" s="106"/>
      <c r="EH36" s="106"/>
      <c r="EI36" s="106"/>
      <c r="EJ36" s="106"/>
      <c r="EK36" s="106"/>
      <c r="EL36" s="106"/>
      <c r="EM36" s="106"/>
      <c r="EN36" s="106"/>
      <c r="EO36" s="106"/>
      <c r="EP36" s="106"/>
      <c r="EQ36" s="107"/>
      <c r="ER36" s="105"/>
      <c r="ES36" s="106"/>
      <c r="ET36" s="106"/>
      <c r="EU36" s="106"/>
      <c r="EV36" s="106"/>
      <c r="EW36" s="106"/>
      <c r="EX36" s="106"/>
      <c r="EY36" s="106"/>
      <c r="EZ36" s="106"/>
      <c r="FA36" s="106"/>
      <c r="FB36" s="106"/>
      <c r="FC36" s="107"/>
      <c r="FD36" s="105"/>
      <c r="FE36" s="106"/>
      <c r="FF36" s="106"/>
      <c r="FG36" s="106"/>
      <c r="FH36" s="106"/>
      <c r="FI36" s="106"/>
      <c r="FJ36" s="106"/>
      <c r="FK36" s="106"/>
      <c r="FL36" s="106"/>
      <c r="FM36" s="106"/>
      <c r="FN36" s="106"/>
      <c r="FO36" s="107"/>
      <c r="FP36" s="105"/>
      <c r="FQ36" s="106"/>
      <c r="FR36" s="106"/>
      <c r="FS36" s="106"/>
      <c r="FT36" s="106"/>
      <c r="FU36" s="106"/>
      <c r="FV36" s="106"/>
      <c r="FW36" s="106"/>
      <c r="FX36" s="106"/>
      <c r="FY36" s="106"/>
      <c r="FZ36" s="106"/>
      <c r="GA36" s="107"/>
      <c r="GB36" s="105"/>
      <c r="GC36" s="106"/>
      <c r="GD36" s="106"/>
      <c r="GE36" s="106"/>
      <c r="GF36" s="106"/>
      <c r="GG36" s="106"/>
      <c r="GH36" s="106"/>
      <c r="GI36" s="106"/>
      <c r="GJ36" s="106"/>
      <c r="GK36" s="106"/>
      <c r="GL36" s="106"/>
      <c r="GM36" s="107"/>
      <c r="GN36" s="105"/>
      <c r="GO36" s="106"/>
      <c r="GP36" s="106"/>
      <c r="GQ36" s="106"/>
      <c r="GR36" s="106"/>
      <c r="GS36" s="106"/>
      <c r="GT36" s="106"/>
      <c r="GU36" s="106"/>
      <c r="GV36" s="106"/>
      <c r="GW36" s="106"/>
      <c r="GX36" s="106"/>
      <c r="GY36" s="107"/>
    </row>
  </sheetData>
  <sheetProtection sheet="1" objects="1" scenarios="1" insertRows="0" selectLockedCells="1"/>
  <mergeCells count="33">
    <mergeCell ref="B9:B10"/>
    <mergeCell ref="B11:B12"/>
    <mergeCell ref="B13:B14"/>
    <mergeCell ref="CJ2:CU2"/>
    <mergeCell ref="B27:B28"/>
    <mergeCell ref="B29:B30"/>
    <mergeCell ref="B31:B32"/>
    <mergeCell ref="B33:B34"/>
    <mergeCell ref="D2:O2"/>
    <mergeCell ref="P2:AA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AB2:AM2"/>
    <mergeCell ref="AN2:AY2"/>
    <mergeCell ref="AZ2:BK2"/>
    <mergeCell ref="BL2:BW2"/>
    <mergeCell ref="BX2:CI2"/>
    <mergeCell ref="FP2:GA2"/>
    <mergeCell ref="GB2:GM2"/>
    <mergeCell ref="GN2:GY2"/>
    <mergeCell ref="CV2:DG2"/>
    <mergeCell ref="DH2:DS2"/>
    <mergeCell ref="DT2:EE2"/>
    <mergeCell ref="EF2:EQ2"/>
    <mergeCell ref="ER2:FC2"/>
    <mergeCell ref="FD2:FO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34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0" t="s">
        <v>21</v>
      </c>
      <c r="C3" s="30">
        <v>0</v>
      </c>
    </row>
    <row r="4" spans="1:4" ht="19.5" customHeight="1" x14ac:dyDescent="0.2">
      <c r="A4" s="34"/>
      <c r="B4" s="123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24"/>
  <sheetViews>
    <sheetView tabSelected="1" view="pageBreakPreview" zoomScaleNormal="100" zoomScaleSheetLayoutView="100" workbookViewId="0">
      <selection activeCell="E7" sqref="E7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34.7109375" style="51" customWidth="1"/>
    <col min="5" max="5" width="13.42578125" style="51" customWidth="1"/>
    <col min="6" max="16384" width="11.42578125" style="51"/>
  </cols>
  <sheetData>
    <row r="1" spans="1:5" ht="18.75" thickBot="1" x14ac:dyDescent="0.25">
      <c r="A1" s="71" t="s">
        <v>14</v>
      </c>
      <c r="B1" s="72">
        <v>1</v>
      </c>
      <c r="C1" s="73" t="s">
        <v>23</v>
      </c>
      <c r="D1" s="129">
        <v>42746</v>
      </c>
      <c r="E1" s="82"/>
    </row>
    <row r="2" spans="1:5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  <c r="E2" s="74" t="s">
        <v>65</v>
      </c>
    </row>
    <row r="3" spans="1:5" s="81" customFormat="1" ht="13.5" x14ac:dyDescent="0.2">
      <c r="A3" s="9" t="s">
        <v>21</v>
      </c>
      <c r="B3" s="8">
        <v>2</v>
      </c>
      <c r="C3" s="13" t="s">
        <v>30</v>
      </c>
      <c r="D3" s="13"/>
      <c r="E3" s="13"/>
    </row>
    <row r="4" spans="1:5" s="81" customFormat="1" ht="13.5" x14ac:dyDescent="0.2">
      <c r="A4" s="5" t="s">
        <v>72</v>
      </c>
      <c r="B4" s="6">
        <v>3</v>
      </c>
      <c r="C4" s="14" t="s">
        <v>73</v>
      </c>
      <c r="D4" s="14" t="s">
        <v>69</v>
      </c>
      <c r="E4" s="14" t="s">
        <v>66</v>
      </c>
    </row>
    <row r="5" spans="1:5" s="81" customFormat="1" ht="13.5" x14ac:dyDescent="0.2">
      <c r="A5" s="5" t="s">
        <v>32</v>
      </c>
      <c r="B5" s="6">
        <v>1</v>
      </c>
      <c r="C5" s="14" t="s">
        <v>63</v>
      </c>
      <c r="D5" s="124" t="s">
        <v>68</v>
      </c>
      <c r="E5" t="s">
        <v>67</v>
      </c>
    </row>
    <row r="6" spans="1:5" s="81" customFormat="1" ht="13.5" x14ac:dyDescent="0.2">
      <c r="A6" s="5" t="s">
        <v>64</v>
      </c>
      <c r="B6" s="6">
        <v>1</v>
      </c>
      <c r="C6" s="14" t="s">
        <v>70</v>
      </c>
      <c r="D6" s="124" t="s">
        <v>71</v>
      </c>
      <c r="E6" s="14" t="s">
        <v>75</v>
      </c>
    </row>
    <row r="7" spans="1:5" s="81" customFormat="1" ht="13.5" x14ac:dyDescent="0.2">
      <c r="A7" s="5" t="s">
        <v>72</v>
      </c>
      <c r="B7" s="6">
        <v>1</v>
      </c>
      <c r="C7" s="14" t="s">
        <v>74</v>
      </c>
      <c r="D7" s="14" t="s">
        <v>69</v>
      </c>
      <c r="E7" s="14"/>
    </row>
    <row r="8" spans="1:5" s="81" customFormat="1" ht="13.5" x14ac:dyDescent="0.2">
      <c r="A8" s="5"/>
      <c r="B8" s="6"/>
      <c r="C8" s="14"/>
      <c r="D8" s="14"/>
      <c r="E8" s="14"/>
    </row>
    <row r="9" spans="1:5" s="81" customFormat="1" ht="13.5" x14ac:dyDescent="0.2">
      <c r="A9" s="5"/>
      <c r="B9" s="6"/>
      <c r="C9" s="14"/>
      <c r="D9" s="14"/>
      <c r="E9" s="14"/>
    </row>
    <row r="10" spans="1:5" s="81" customFormat="1" ht="13.5" x14ac:dyDescent="0.2">
      <c r="A10" s="5"/>
      <c r="B10" s="6"/>
      <c r="C10" s="14"/>
      <c r="D10" s="14"/>
      <c r="E10" s="14"/>
    </row>
    <row r="11" spans="1:5" s="81" customFormat="1" ht="13.5" x14ac:dyDescent="0.2">
      <c r="A11" s="5"/>
      <c r="B11" s="6"/>
      <c r="C11" s="14"/>
      <c r="D11" s="14"/>
      <c r="E11" s="14"/>
    </row>
    <row r="12" spans="1:5" s="81" customFormat="1" ht="13.5" x14ac:dyDescent="0.2">
      <c r="A12" s="6"/>
      <c r="B12" s="6"/>
      <c r="C12" s="14"/>
      <c r="D12" s="14"/>
      <c r="E12" s="14"/>
    </row>
    <row r="13" spans="1:5" s="81" customFormat="1" ht="13.5" x14ac:dyDescent="0.2">
      <c r="A13" s="6"/>
      <c r="B13" s="6"/>
      <c r="C13" s="14"/>
      <c r="D13" s="14"/>
      <c r="E13" s="14"/>
    </row>
    <row r="14" spans="1:5" s="81" customFormat="1" ht="13.5" x14ac:dyDescent="0.2">
      <c r="A14" s="6"/>
      <c r="B14" s="6"/>
      <c r="C14" s="14"/>
      <c r="D14" s="14"/>
      <c r="E14" s="14"/>
    </row>
    <row r="15" spans="1:5" s="81" customFormat="1" ht="13.5" x14ac:dyDescent="0.2">
      <c r="A15" s="79"/>
      <c r="B15" s="79"/>
      <c r="C15" s="80"/>
      <c r="D15" s="80"/>
      <c r="E15" s="80"/>
    </row>
    <row r="16" spans="1:5" s="81" customFormat="1" ht="13.5" x14ac:dyDescent="0.2">
      <c r="A16" s="79"/>
      <c r="B16" s="79"/>
      <c r="C16" s="80"/>
      <c r="D16" s="80"/>
      <c r="E16" s="80"/>
    </row>
    <row r="17" spans="1:9" s="81" customFormat="1" ht="14.25" thickBot="1" x14ac:dyDescent="0.25">
      <c r="A17" s="7"/>
      <c r="B17" s="7"/>
      <c r="C17" s="15"/>
      <c r="D17" s="15"/>
      <c r="E17" s="15"/>
    </row>
    <row r="18" spans="1:9" ht="14.25" thickBot="1" x14ac:dyDescent="0.25">
      <c r="A18" s="76" t="s">
        <v>22</v>
      </c>
      <c r="B18" s="76">
        <f>SUM(B3:B17)</f>
        <v>8</v>
      </c>
      <c r="C18" s="83" t="s">
        <v>28</v>
      </c>
      <c r="D18" s="77"/>
      <c r="E18" s="77"/>
    </row>
    <row r="19" spans="1:9" ht="15" thickBot="1" x14ac:dyDescent="0.35">
      <c r="A19" s="78"/>
      <c r="B19" s="78"/>
      <c r="C19" s="78"/>
      <c r="D19" s="78"/>
      <c r="E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129">
        <v>42753</v>
      </c>
      <c r="E20" s="82"/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  <c r="E21" s="74" t="s">
        <v>65</v>
      </c>
    </row>
    <row r="22" spans="1:9" ht="13.5" x14ac:dyDescent="0.2">
      <c r="A22" s="9"/>
      <c r="B22" s="8"/>
      <c r="C22" s="13"/>
      <c r="D22" s="13"/>
      <c r="E22" s="13"/>
    </row>
    <row r="23" spans="1:9" ht="13.5" x14ac:dyDescent="0.2">
      <c r="A23" s="5"/>
      <c r="B23" s="6"/>
      <c r="C23" s="14"/>
      <c r="D23" s="14"/>
      <c r="E23" s="14"/>
    </row>
    <row r="24" spans="1:9" ht="13.5" x14ac:dyDescent="0.2">
      <c r="A24" s="5"/>
      <c r="B24" s="6"/>
      <c r="C24" s="14"/>
      <c r="D24" s="14"/>
      <c r="E24" s="14"/>
      <c r="F24" s="37"/>
      <c r="G24" s="37"/>
      <c r="H24" s="37"/>
      <c r="I24" s="37"/>
    </row>
    <row r="25" spans="1:9" ht="12.75" customHeight="1" x14ac:dyDescent="0.2">
      <c r="A25" s="5"/>
      <c r="B25" s="6"/>
      <c r="C25" s="14"/>
      <c r="D25" s="14"/>
      <c r="E25" s="14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14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14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14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14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14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14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14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14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80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80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15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0</v>
      </c>
      <c r="C37" s="83" t="s">
        <v>28</v>
      </c>
      <c r="D37" s="77"/>
      <c r="E37" s="7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78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129">
        <v>42760</v>
      </c>
      <c r="E39" s="82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  <c r="E40" s="74" t="s">
        <v>65</v>
      </c>
    </row>
    <row r="41" spans="1:9" ht="13.5" x14ac:dyDescent="0.2">
      <c r="A41" s="9"/>
      <c r="B41" s="8"/>
      <c r="C41" s="13"/>
      <c r="D41" s="13"/>
      <c r="E41" s="13"/>
    </row>
    <row r="42" spans="1:9" ht="13.5" x14ac:dyDescent="0.2">
      <c r="A42" s="5"/>
      <c r="B42" s="6"/>
      <c r="C42" s="14"/>
      <c r="D42" s="14"/>
      <c r="E42" s="14"/>
    </row>
    <row r="43" spans="1:9" ht="13.5" x14ac:dyDescent="0.2">
      <c r="A43" s="5"/>
      <c r="B43" s="6"/>
      <c r="C43" s="14"/>
      <c r="D43" s="14"/>
      <c r="E43" s="14"/>
    </row>
    <row r="44" spans="1:9" ht="13.5" x14ac:dyDescent="0.2">
      <c r="A44" s="5"/>
      <c r="B44" s="6"/>
      <c r="C44" s="14"/>
      <c r="D44" s="14"/>
      <c r="E44" s="14"/>
    </row>
    <row r="45" spans="1:9" ht="13.5" x14ac:dyDescent="0.2">
      <c r="A45" s="5"/>
      <c r="B45" s="6"/>
      <c r="C45" s="14"/>
      <c r="D45" s="14"/>
      <c r="E45" s="14"/>
    </row>
    <row r="46" spans="1:9" ht="13.5" x14ac:dyDescent="0.2">
      <c r="A46" s="5"/>
      <c r="B46" s="6"/>
      <c r="C46" s="14"/>
      <c r="D46" s="14"/>
      <c r="E46" s="14"/>
    </row>
    <row r="47" spans="1:9" ht="13.5" x14ac:dyDescent="0.2">
      <c r="A47" s="5"/>
      <c r="B47" s="6"/>
      <c r="C47" s="14"/>
      <c r="D47" s="14"/>
      <c r="E47" s="14"/>
    </row>
    <row r="48" spans="1:9" ht="13.5" x14ac:dyDescent="0.2">
      <c r="A48" s="5"/>
      <c r="B48" s="6"/>
      <c r="C48" s="14"/>
      <c r="D48" s="14"/>
      <c r="E48" s="14"/>
    </row>
    <row r="49" spans="1:5" ht="13.5" x14ac:dyDescent="0.2">
      <c r="A49" s="5"/>
      <c r="B49" s="6"/>
      <c r="C49" s="14"/>
      <c r="D49" s="14"/>
      <c r="E49" s="14"/>
    </row>
    <row r="50" spans="1:5" ht="13.5" x14ac:dyDescent="0.2">
      <c r="A50" s="6"/>
      <c r="B50" s="6"/>
      <c r="C50" s="14"/>
      <c r="D50" s="14"/>
      <c r="E50" s="14"/>
    </row>
    <row r="51" spans="1:5" ht="13.5" x14ac:dyDescent="0.2">
      <c r="A51" s="6"/>
      <c r="B51" s="6"/>
      <c r="C51" s="14"/>
      <c r="D51" s="14"/>
      <c r="E51" s="14"/>
    </row>
    <row r="52" spans="1:5" ht="13.5" x14ac:dyDescent="0.2">
      <c r="A52" s="6"/>
      <c r="B52" s="6"/>
      <c r="C52" s="14"/>
      <c r="D52" s="14"/>
      <c r="E52" s="14"/>
    </row>
    <row r="53" spans="1:5" ht="13.5" x14ac:dyDescent="0.2">
      <c r="A53" s="79"/>
      <c r="B53" s="79"/>
      <c r="C53" s="80"/>
      <c r="D53" s="80"/>
      <c r="E53" s="80"/>
    </row>
    <row r="54" spans="1:5" ht="13.5" x14ac:dyDescent="0.2">
      <c r="A54" s="79"/>
      <c r="B54" s="79"/>
      <c r="C54" s="80"/>
      <c r="D54" s="80"/>
      <c r="E54" s="80"/>
    </row>
    <row r="55" spans="1:5" ht="14.25" thickBot="1" x14ac:dyDescent="0.25">
      <c r="A55" s="7"/>
      <c r="B55" s="7"/>
      <c r="C55" s="15"/>
      <c r="D55" s="15"/>
      <c r="E55" s="15"/>
    </row>
    <row r="56" spans="1:5" ht="14.25" thickBot="1" x14ac:dyDescent="0.25">
      <c r="A56" s="76" t="s">
        <v>22</v>
      </c>
      <c r="B56" s="76">
        <f>SUM(B41:B55)</f>
        <v>0</v>
      </c>
      <c r="C56" s="83" t="s">
        <v>28</v>
      </c>
      <c r="D56" s="77"/>
      <c r="E56" s="77"/>
    </row>
    <row r="57" spans="1:5" ht="15" thickBot="1" x14ac:dyDescent="0.35">
      <c r="A57" s="78"/>
      <c r="B57" s="78"/>
      <c r="C57" s="78"/>
      <c r="D57" s="78"/>
      <c r="E57" s="78"/>
    </row>
    <row r="58" spans="1:5" ht="18.75" thickBot="1" x14ac:dyDescent="0.25">
      <c r="A58" s="71" t="s">
        <v>14</v>
      </c>
      <c r="B58" s="72">
        <v>4</v>
      </c>
      <c r="C58" s="73" t="s">
        <v>23</v>
      </c>
      <c r="D58" s="129">
        <v>42767</v>
      </c>
      <c r="E58" s="82"/>
    </row>
    <row r="59" spans="1:5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  <c r="E59" s="74" t="s">
        <v>65</v>
      </c>
    </row>
    <row r="60" spans="1:5" ht="13.5" x14ac:dyDescent="0.2">
      <c r="A60" s="9"/>
      <c r="B60" s="8"/>
      <c r="C60" s="13"/>
      <c r="D60" s="13"/>
      <c r="E60" s="13"/>
    </row>
    <row r="61" spans="1:5" ht="13.5" x14ac:dyDescent="0.2">
      <c r="A61" s="5"/>
      <c r="B61" s="6"/>
      <c r="C61" s="14"/>
      <c r="D61" s="14"/>
      <c r="E61" s="14"/>
    </row>
    <row r="62" spans="1:5" ht="13.5" x14ac:dyDescent="0.2">
      <c r="A62" s="5"/>
      <c r="B62" s="6"/>
      <c r="C62" s="14"/>
      <c r="D62" s="14"/>
      <c r="E62" s="14"/>
    </row>
    <row r="63" spans="1:5" ht="13.5" x14ac:dyDescent="0.2">
      <c r="A63" s="5"/>
      <c r="B63" s="6"/>
      <c r="C63" s="14"/>
      <c r="D63" s="14"/>
      <c r="E63" s="14"/>
    </row>
    <row r="64" spans="1:5" ht="13.5" x14ac:dyDescent="0.2">
      <c r="A64" s="5"/>
      <c r="B64" s="6"/>
      <c r="C64" s="14"/>
      <c r="D64" s="14"/>
      <c r="E64" s="14"/>
    </row>
    <row r="65" spans="1:5" ht="13.5" x14ac:dyDescent="0.2">
      <c r="A65" s="5"/>
      <c r="B65" s="6"/>
      <c r="C65" s="14"/>
      <c r="D65" s="14"/>
      <c r="E65" s="14"/>
    </row>
    <row r="66" spans="1:5" ht="13.5" x14ac:dyDescent="0.2">
      <c r="A66" s="5"/>
      <c r="B66" s="6"/>
      <c r="C66" s="14"/>
      <c r="D66" s="14"/>
      <c r="E66" s="14"/>
    </row>
    <row r="67" spans="1:5" ht="13.5" x14ac:dyDescent="0.2">
      <c r="A67" s="5"/>
      <c r="B67" s="6"/>
      <c r="C67" s="14"/>
      <c r="D67" s="14"/>
      <c r="E67" s="14"/>
    </row>
    <row r="68" spans="1:5" ht="13.5" x14ac:dyDescent="0.2">
      <c r="A68" s="5"/>
      <c r="B68" s="6"/>
      <c r="C68" s="14"/>
      <c r="D68" s="14"/>
      <c r="E68" s="14"/>
    </row>
    <row r="69" spans="1:5" ht="13.5" x14ac:dyDescent="0.2">
      <c r="A69" s="6"/>
      <c r="B69" s="6"/>
      <c r="C69" s="14"/>
      <c r="D69" s="14"/>
      <c r="E69" s="14"/>
    </row>
    <row r="70" spans="1:5" ht="13.5" x14ac:dyDescent="0.2">
      <c r="A70" s="6"/>
      <c r="B70" s="6"/>
      <c r="C70" s="14"/>
      <c r="D70" s="14"/>
      <c r="E70" s="14"/>
    </row>
    <row r="71" spans="1:5" ht="13.5" x14ac:dyDescent="0.2">
      <c r="A71" s="6"/>
      <c r="B71" s="6"/>
      <c r="C71" s="14"/>
      <c r="D71" s="14"/>
      <c r="E71" s="14"/>
    </row>
    <row r="72" spans="1:5" ht="13.5" x14ac:dyDescent="0.2">
      <c r="A72" s="79"/>
      <c r="B72" s="79"/>
      <c r="C72" s="80"/>
      <c r="D72" s="80"/>
      <c r="E72" s="80"/>
    </row>
    <row r="73" spans="1:5" ht="13.5" x14ac:dyDescent="0.2">
      <c r="A73" s="79"/>
      <c r="B73" s="79"/>
      <c r="C73" s="80"/>
      <c r="D73" s="80"/>
      <c r="E73" s="80"/>
    </row>
    <row r="74" spans="1:5" ht="14.25" thickBot="1" x14ac:dyDescent="0.25">
      <c r="A74" s="7"/>
      <c r="B74" s="7"/>
      <c r="C74" s="15"/>
      <c r="D74" s="15"/>
      <c r="E74" s="15"/>
    </row>
    <row r="75" spans="1:5" ht="14.25" thickBot="1" x14ac:dyDescent="0.25">
      <c r="A75" s="76" t="s">
        <v>22</v>
      </c>
      <c r="B75" s="76">
        <f>SUM(B60:B74)</f>
        <v>0</v>
      </c>
      <c r="C75" s="83" t="s">
        <v>28</v>
      </c>
      <c r="D75" s="77"/>
      <c r="E75" s="77"/>
    </row>
    <row r="76" spans="1:5" ht="15" thickBot="1" x14ac:dyDescent="0.35">
      <c r="A76" s="78"/>
      <c r="B76" s="78"/>
      <c r="C76" s="78"/>
      <c r="D76" s="78"/>
      <c r="E76" s="78"/>
    </row>
    <row r="77" spans="1:5" ht="18.75" thickBot="1" x14ac:dyDescent="0.25">
      <c r="A77" s="71" t="s">
        <v>14</v>
      </c>
      <c r="B77" s="72">
        <v>5</v>
      </c>
      <c r="C77" s="73" t="s">
        <v>23</v>
      </c>
      <c r="D77" s="129">
        <v>42774</v>
      </c>
      <c r="E77" s="82"/>
    </row>
    <row r="78" spans="1:5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  <c r="E78" s="74" t="s">
        <v>65</v>
      </c>
    </row>
    <row r="79" spans="1:5" ht="13.5" x14ac:dyDescent="0.2">
      <c r="A79" s="9"/>
      <c r="B79" s="8"/>
      <c r="C79" s="13"/>
      <c r="D79" s="13"/>
      <c r="E79" s="13"/>
    </row>
    <row r="80" spans="1:5" ht="13.5" x14ac:dyDescent="0.2">
      <c r="A80" s="5"/>
      <c r="B80" s="6"/>
      <c r="C80" s="14"/>
      <c r="D80" s="14"/>
      <c r="E80" s="14"/>
    </row>
    <row r="81" spans="1:5" ht="13.5" x14ac:dyDescent="0.2">
      <c r="A81" s="5"/>
      <c r="B81" s="6"/>
      <c r="C81" s="14"/>
      <c r="D81" s="14"/>
      <c r="E81" s="14"/>
    </row>
    <row r="82" spans="1:5" ht="13.5" x14ac:dyDescent="0.2">
      <c r="A82" s="5"/>
      <c r="B82" s="6"/>
      <c r="C82" s="14"/>
      <c r="D82" s="14"/>
      <c r="E82" s="14"/>
    </row>
    <row r="83" spans="1:5" ht="13.5" x14ac:dyDescent="0.2">
      <c r="A83" s="5"/>
      <c r="B83" s="6"/>
      <c r="C83" s="14"/>
      <c r="D83" s="14"/>
      <c r="E83" s="14"/>
    </row>
    <row r="84" spans="1:5" ht="13.5" x14ac:dyDescent="0.2">
      <c r="A84" s="5"/>
      <c r="B84" s="6"/>
      <c r="C84" s="14"/>
      <c r="D84" s="14"/>
      <c r="E84" s="14"/>
    </row>
    <row r="85" spans="1:5" ht="13.5" x14ac:dyDescent="0.2">
      <c r="A85" s="5"/>
      <c r="B85" s="6"/>
      <c r="C85" s="14"/>
      <c r="D85" s="14"/>
      <c r="E85" s="14"/>
    </row>
    <row r="86" spans="1:5" ht="13.5" x14ac:dyDescent="0.2">
      <c r="A86" s="5"/>
      <c r="B86" s="6"/>
      <c r="C86" s="14"/>
      <c r="D86" s="14"/>
      <c r="E86" s="14"/>
    </row>
    <row r="87" spans="1:5" ht="13.5" x14ac:dyDescent="0.2">
      <c r="A87" s="5"/>
      <c r="B87" s="6"/>
      <c r="C87" s="14"/>
      <c r="D87" s="14"/>
      <c r="E87" s="14"/>
    </row>
    <row r="88" spans="1:5" ht="13.5" x14ac:dyDescent="0.2">
      <c r="A88" s="6"/>
      <c r="B88" s="6"/>
      <c r="C88" s="14"/>
      <c r="D88" s="14"/>
      <c r="E88" s="14"/>
    </row>
    <row r="89" spans="1:5" ht="13.5" x14ac:dyDescent="0.2">
      <c r="A89" s="6"/>
      <c r="B89" s="6"/>
      <c r="C89" s="14"/>
      <c r="D89" s="14"/>
      <c r="E89" s="14"/>
    </row>
    <row r="90" spans="1:5" ht="13.5" x14ac:dyDescent="0.2">
      <c r="A90" s="6"/>
      <c r="B90" s="6"/>
      <c r="C90" s="14"/>
      <c r="D90" s="14"/>
      <c r="E90" s="14"/>
    </row>
    <row r="91" spans="1:5" ht="13.5" x14ac:dyDescent="0.2">
      <c r="A91" s="79"/>
      <c r="B91" s="79"/>
      <c r="C91" s="80"/>
      <c r="D91" s="80"/>
      <c r="E91" s="80"/>
    </row>
    <row r="92" spans="1:5" ht="13.5" x14ac:dyDescent="0.2">
      <c r="A92" s="79"/>
      <c r="B92" s="79"/>
      <c r="C92" s="80"/>
      <c r="D92" s="80"/>
      <c r="E92" s="80"/>
    </row>
    <row r="93" spans="1:5" ht="14.25" thickBot="1" x14ac:dyDescent="0.25">
      <c r="A93" s="7"/>
      <c r="B93" s="7"/>
      <c r="C93" s="15"/>
      <c r="D93" s="15"/>
      <c r="E93" s="15"/>
    </row>
    <row r="94" spans="1:5" ht="14.25" thickBot="1" x14ac:dyDescent="0.25">
      <c r="A94" s="76" t="s">
        <v>22</v>
      </c>
      <c r="B94" s="76">
        <f>SUM(B79:B93)</f>
        <v>0</v>
      </c>
      <c r="C94" s="83" t="s">
        <v>28</v>
      </c>
      <c r="D94" s="77"/>
      <c r="E94" s="77"/>
    </row>
    <row r="95" spans="1:5" ht="15" thickBot="1" x14ac:dyDescent="0.35">
      <c r="A95" s="78"/>
      <c r="B95" s="78"/>
      <c r="C95" s="78"/>
      <c r="D95" s="78"/>
      <c r="E95" s="78"/>
    </row>
    <row r="96" spans="1:5" ht="18.75" thickBot="1" x14ac:dyDescent="0.25">
      <c r="A96" s="71" t="s">
        <v>14</v>
      </c>
      <c r="B96" s="72">
        <v>6</v>
      </c>
      <c r="C96" s="73" t="s">
        <v>23</v>
      </c>
      <c r="D96" s="129">
        <v>42781</v>
      </c>
      <c r="E96" s="82"/>
    </row>
    <row r="97" spans="1:5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  <c r="E97" s="74" t="s">
        <v>65</v>
      </c>
    </row>
    <row r="98" spans="1:5" ht="13.5" x14ac:dyDescent="0.2">
      <c r="A98" s="9"/>
      <c r="B98" s="8"/>
      <c r="C98" s="13"/>
      <c r="D98" s="13"/>
      <c r="E98" s="13"/>
    </row>
    <row r="99" spans="1:5" ht="13.5" x14ac:dyDescent="0.2">
      <c r="A99" s="5"/>
      <c r="B99" s="6"/>
      <c r="C99" s="14"/>
      <c r="D99" s="14"/>
      <c r="E99" s="14"/>
    </row>
    <row r="100" spans="1:5" ht="13.5" x14ac:dyDescent="0.2">
      <c r="A100" s="5"/>
      <c r="B100" s="6"/>
      <c r="C100" s="14"/>
      <c r="D100" s="14"/>
      <c r="E100" s="14"/>
    </row>
    <row r="101" spans="1:5" ht="13.5" x14ac:dyDescent="0.2">
      <c r="A101" s="5"/>
      <c r="B101" s="6"/>
      <c r="C101" s="14"/>
      <c r="D101" s="14"/>
      <c r="E101" s="14"/>
    </row>
    <row r="102" spans="1:5" ht="13.5" x14ac:dyDescent="0.2">
      <c r="A102" s="5"/>
      <c r="B102" s="6"/>
      <c r="C102" s="14"/>
      <c r="D102" s="14"/>
      <c r="E102" s="14"/>
    </row>
    <row r="103" spans="1:5" ht="13.5" x14ac:dyDescent="0.2">
      <c r="A103" s="5"/>
      <c r="B103" s="6"/>
      <c r="C103" s="14"/>
      <c r="D103" s="14"/>
      <c r="E103" s="14"/>
    </row>
    <row r="104" spans="1:5" ht="13.5" x14ac:dyDescent="0.2">
      <c r="A104" s="5"/>
      <c r="B104" s="6"/>
      <c r="C104" s="14"/>
      <c r="D104" s="14"/>
      <c r="E104" s="14"/>
    </row>
    <row r="105" spans="1:5" ht="13.5" x14ac:dyDescent="0.2">
      <c r="A105" s="5"/>
      <c r="B105" s="6"/>
      <c r="C105" s="14"/>
      <c r="D105" s="14"/>
      <c r="E105" s="14"/>
    </row>
    <row r="106" spans="1:5" ht="13.5" x14ac:dyDescent="0.2">
      <c r="A106" s="5"/>
      <c r="B106" s="6"/>
      <c r="C106" s="14"/>
      <c r="D106" s="14"/>
      <c r="E106" s="14"/>
    </row>
    <row r="107" spans="1:5" ht="13.5" x14ac:dyDescent="0.2">
      <c r="A107" s="6"/>
      <c r="B107" s="6"/>
      <c r="C107" s="14"/>
      <c r="D107" s="14"/>
      <c r="E107" s="14"/>
    </row>
    <row r="108" spans="1:5" ht="13.5" x14ac:dyDescent="0.2">
      <c r="A108" s="6"/>
      <c r="B108" s="6"/>
      <c r="C108" s="14"/>
      <c r="D108" s="14"/>
      <c r="E108" s="14"/>
    </row>
    <row r="109" spans="1:5" ht="13.5" x14ac:dyDescent="0.2">
      <c r="A109" s="6"/>
      <c r="B109" s="6"/>
      <c r="C109" s="14"/>
      <c r="D109" s="14"/>
      <c r="E109" s="14"/>
    </row>
    <row r="110" spans="1:5" ht="13.5" x14ac:dyDescent="0.2">
      <c r="A110" s="79"/>
      <c r="B110" s="79"/>
      <c r="C110" s="80"/>
      <c r="D110" s="80"/>
      <c r="E110" s="80"/>
    </row>
    <row r="111" spans="1:5" ht="13.5" x14ac:dyDescent="0.2">
      <c r="A111" s="79"/>
      <c r="B111" s="79"/>
      <c r="C111" s="80"/>
      <c r="D111" s="80"/>
      <c r="E111" s="80"/>
    </row>
    <row r="112" spans="1:5" ht="14.25" thickBot="1" x14ac:dyDescent="0.25">
      <c r="A112" s="7"/>
      <c r="B112" s="7"/>
      <c r="C112" s="15"/>
      <c r="D112" s="15"/>
      <c r="E112" s="15"/>
    </row>
    <row r="113" spans="1:5" ht="14.25" thickBot="1" x14ac:dyDescent="0.25">
      <c r="A113" s="76" t="s">
        <v>22</v>
      </c>
      <c r="B113" s="76">
        <f>SUM(B98:B112)</f>
        <v>0</v>
      </c>
      <c r="C113" s="83" t="s">
        <v>28</v>
      </c>
      <c r="D113" s="77"/>
      <c r="E113" s="77"/>
    </row>
    <row r="114" spans="1:5" ht="15" thickBot="1" x14ac:dyDescent="0.35">
      <c r="A114" s="78"/>
      <c r="B114" s="78"/>
      <c r="C114" s="78"/>
      <c r="D114" s="78"/>
      <c r="E114" s="78"/>
    </row>
    <row r="115" spans="1:5" ht="18.75" thickBot="1" x14ac:dyDescent="0.25">
      <c r="A115" s="71" t="s">
        <v>14</v>
      </c>
      <c r="B115" s="72">
        <v>7</v>
      </c>
      <c r="C115" s="73" t="s">
        <v>23</v>
      </c>
      <c r="D115" s="129">
        <v>42788</v>
      </c>
      <c r="E115" s="82"/>
    </row>
    <row r="116" spans="1:5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  <c r="E116" s="74" t="s">
        <v>65</v>
      </c>
    </row>
    <row r="117" spans="1:5" ht="13.5" x14ac:dyDescent="0.2">
      <c r="A117" s="9"/>
      <c r="B117" s="8"/>
      <c r="C117" s="13"/>
      <c r="D117" s="13"/>
      <c r="E117" s="13"/>
    </row>
    <row r="118" spans="1:5" ht="13.5" x14ac:dyDescent="0.2">
      <c r="A118" s="5"/>
      <c r="B118" s="6"/>
      <c r="C118" s="14"/>
      <c r="D118" s="14"/>
      <c r="E118" s="14"/>
    </row>
    <row r="119" spans="1:5" ht="13.5" x14ac:dyDescent="0.2">
      <c r="A119" s="5"/>
      <c r="B119" s="6"/>
      <c r="C119" s="14"/>
      <c r="D119" s="14"/>
      <c r="E119" s="14"/>
    </row>
    <row r="120" spans="1:5" ht="13.5" x14ac:dyDescent="0.2">
      <c r="A120" s="5"/>
      <c r="B120" s="6"/>
      <c r="C120" s="14"/>
      <c r="D120" s="14"/>
      <c r="E120" s="14"/>
    </row>
    <row r="121" spans="1:5" ht="13.5" x14ac:dyDescent="0.2">
      <c r="A121" s="5"/>
      <c r="B121" s="6"/>
      <c r="C121" s="14"/>
      <c r="D121" s="14"/>
      <c r="E121" s="14"/>
    </row>
    <row r="122" spans="1:5" ht="13.5" x14ac:dyDescent="0.2">
      <c r="A122" s="5"/>
      <c r="B122" s="6"/>
      <c r="C122" s="14"/>
      <c r="D122" s="14"/>
      <c r="E122" s="14"/>
    </row>
    <row r="123" spans="1:5" ht="13.5" x14ac:dyDescent="0.2">
      <c r="A123" s="5"/>
      <c r="B123" s="6"/>
      <c r="C123" s="14"/>
      <c r="D123" s="14"/>
      <c r="E123" s="14"/>
    </row>
    <row r="124" spans="1:5" ht="13.5" x14ac:dyDescent="0.2">
      <c r="A124" s="5"/>
      <c r="B124" s="6"/>
      <c r="C124" s="14"/>
      <c r="D124" s="14"/>
      <c r="E124" s="14"/>
    </row>
    <row r="125" spans="1:5" ht="13.5" x14ac:dyDescent="0.2">
      <c r="A125" s="5"/>
      <c r="B125" s="6"/>
      <c r="C125" s="14"/>
      <c r="D125" s="14"/>
      <c r="E125" s="14"/>
    </row>
    <row r="126" spans="1:5" ht="13.5" x14ac:dyDescent="0.2">
      <c r="A126" s="6"/>
      <c r="B126" s="6"/>
      <c r="C126" s="14"/>
      <c r="D126" s="14"/>
      <c r="E126" s="14"/>
    </row>
    <row r="127" spans="1:5" ht="13.5" x14ac:dyDescent="0.2">
      <c r="A127" s="6"/>
      <c r="B127" s="6"/>
      <c r="C127" s="14"/>
      <c r="D127" s="14"/>
      <c r="E127" s="14"/>
    </row>
    <row r="128" spans="1:5" ht="13.5" x14ac:dyDescent="0.2">
      <c r="A128" s="6"/>
      <c r="B128" s="6"/>
      <c r="C128" s="14"/>
      <c r="D128" s="14"/>
      <c r="E128" s="14"/>
    </row>
    <row r="129" spans="1:5" ht="13.5" x14ac:dyDescent="0.2">
      <c r="A129" s="79"/>
      <c r="B129" s="79"/>
      <c r="C129" s="80"/>
      <c r="D129" s="80"/>
      <c r="E129" s="80"/>
    </row>
    <row r="130" spans="1:5" ht="13.5" x14ac:dyDescent="0.2">
      <c r="A130" s="79"/>
      <c r="B130" s="79"/>
      <c r="C130" s="80"/>
      <c r="D130" s="80"/>
      <c r="E130" s="80"/>
    </row>
    <row r="131" spans="1:5" ht="14.25" thickBot="1" x14ac:dyDescent="0.25">
      <c r="A131" s="7"/>
      <c r="B131" s="7"/>
      <c r="C131" s="15"/>
      <c r="D131" s="15"/>
      <c r="E131" s="15"/>
    </row>
    <row r="132" spans="1:5" ht="14.25" thickBot="1" x14ac:dyDescent="0.25">
      <c r="A132" s="76" t="s">
        <v>22</v>
      </c>
      <c r="B132" s="76">
        <f>SUM(B117:B131)</f>
        <v>0</v>
      </c>
      <c r="C132" s="83" t="s">
        <v>28</v>
      </c>
      <c r="D132" s="77"/>
      <c r="E132" s="77"/>
    </row>
    <row r="133" spans="1:5" ht="15" thickBot="1" x14ac:dyDescent="0.35">
      <c r="A133" s="78"/>
      <c r="B133" s="78"/>
      <c r="C133" s="78"/>
      <c r="D133" s="78"/>
      <c r="E133" s="78"/>
    </row>
    <row r="134" spans="1:5" ht="18.75" thickBot="1" x14ac:dyDescent="0.25">
      <c r="A134" s="71" t="s">
        <v>14</v>
      </c>
      <c r="B134" s="72">
        <v>8</v>
      </c>
      <c r="C134" s="73" t="s">
        <v>23</v>
      </c>
      <c r="D134" s="129">
        <v>42795</v>
      </c>
      <c r="E134" s="82"/>
    </row>
    <row r="135" spans="1:5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  <c r="E135" s="74" t="s">
        <v>65</v>
      </c>
    </row>
    <row r="136" spans="1:5" ht="13.5" x14ac:dyDescent="0.2">
      <c r="A136" s="9"/>
      <c r="B136" s="8"/>
      <c r="C136" s="13"/>
      <c r="D136" s="13"/>
      <c r="E136" s="13"/>
    </row>
    <row r="137" spans="1:5" ht="13.5" x14ac:dyDescent="0.2">
      <c r="A137" s="5"/>
      <c r="B137" s="6"/>
      <c r="C137" s="14"/>
      <c r="D137" s="14"/>
      <c r="E137" s="14"/>
    </row>
    <row r="138" spans="1:5" ht="13.5" x14ac:dyDescent="0.2">
      <c r="A138" s="5"/>
      <c r="B138" s="6"/>
      <c r="C138" s="14"/>
      <c r="D138" s="14"/>
      <c r="E138" s="14"/>
    </row>
    <row r="139" spans="1:5" ht="13.5" x14ac:dyDescent="0.2">
      <c r="A139" s="5"/>
      <c r="B139" s="6"/>
      <c r="C139" s="14"/>
      <c r="D139" s="14"/>
      <c r="E139" s="14"/>
    </row>
    <row r="140" spans="1:5" ht="13.5" x14ac:dyDescent="0.2">
      <c r="A140" s="5"/>
      <c r="B140" s="6"/>
      <c r="C140" s="14"/>
      <c r="D140" s="14"/>
      <c r="E140" s="14"/>
    </row>
    <row r="141" spans="1:5" ht="13.5" x14ac:dyDescent="0.2">
      <c r="A141" s="5"/>
      <c r="B141" s="6"/>
      <c r="C141" s="14"/>
      <c r="D141" s="14"/>
      <c r="E141" s="14"/>
    </row>
    <row r="142" spans="1:5" ht="13.5" x14ac:dyDescent="0.2">
      <c r="A142" s="5"/>
      <c r="B142" s="6"/>
      <c r="C142" s="14"/>
      <c r="D142" s="14"/>
      <c r="E142" s="14"/>
    </row>
    <row r="143" spans="1:5" ht="13.5" x14ac:dyDescent="0.2">
      <c r="A143" s="5"/>
      <c r="B143" s="6"/>
      <c r="C143" s="14"/>
      <c r="D143" s="14"/>
      <c r="E143" s="14"/>
    </row>
    <row r="144" spans="1:5" ht="13.5" x14ac:dyDescent="0.2">
      <c r="A144" s="5"/>
      <c r="B144" s="6"/>
      <c r="C144" s="14"/>
      <c r="D144" s="14"/>
      <c r="E144" s="14"/>
    </row>
    <row r="145" spans="1:5" ht="13.5" x14ac:dyDescent="0.2">
      <c r="A145" s="6"/>
      <c r="B145" s="6"/>
      <c r="C145" s="14"/>
      <c r="D145" s="14"/>
      <c r="E145" s="14"/>
    </row>
    <row r="146" spans="1:5" ht="13.5" x14ac:dyDescent="0.2">
      <c r="A146" s="6"/>
      <c r="B146" s="6"/>
      <c r="C146" s="14"/>
      <c r="D146" s="14"/>
      <c r="E146" s="14"/>
    </row>
    <row r="147" spans="1:5" ht="13.5" x14ac:dyDescent="0.2">
      <c r="A147" s="6"/>
      <c r="B147" s="6"/>
      <c r="C147" s="14"/>
      <c r="D147" s="14"/>
      <c r="E147" s="14"/>
    </row>
    <row r="148" spans="1:5" ht="13.5" x14ac:dyDescent="0.2">
      <c r="A148" s="79"/>
      <c r="B148" s="79"/>
      <c r="C148" s="80"/>
      <c r="D148" s="80"/>
      <c r="E148" s="80"/>
    </row>
    <row r="149" spans="1:5" ht="13.5" x14ac:dyDescent="0.2">
      <c r="A149" s="79"/>
      <c r="B149" s="79"/>
      <c r="C149" s="80"/>
      <c r="D149" s="80"/>
      <c r="E149" s="80"/>
    </row>
    <row r="150" spans="1:5" ht="14.25" thickBot="1" x14ac:dyDescent="0.25">
      <c r="A150" s="7"/>
      <c r="B150" s="7"/>
      <c r="C150" s="15"/>
      <c r="D150" s="15"/>
      <c r="E150" s="15"/>
    </row>
    <row r="151" spans="1:5" ht="14.25" thickBot="1" x14ac:dyDescent="0.25">
      <c r="A151" s="76" t="s">
        <v>22</v>
      </c>
      <c r="B151" s="76">
        <f>SUM(B136:B150)</f>
        <v>0</v>
      </c>
      <c r="C151" s="83" t="s">
        <v>28</v>
      </c>
      <c r="D151" s="77"/>
      <c r="E151" s="77"/>
    </row>
    <row r="152" spans="1:5" ht="15" thickBot="1" x14ac:dyDescent="0.35">
      <c r="A152" s="78"/>
      <c r="B152" s="78"/>
      <c r="C152" s="78"/>
      <c r="D152" s="78"/>
      <c r="E152" s="78"/>
    </row>
    <row r="153" spans="1:5" ht="18.75" thickBot="1" x14ac:dyDescent="0.25">
      <c r="A153" s="71" t="s">
        <v>14</v>
      </c>
      <c r="B153" s="72">
        <v>9</v>
      </c>
      <c r="C153" s="73" t="s">
        <v>23</v>
      </c>
      <c r="D153" s="129">
        <v>42802</v>
      </c>
      <c r="E153" s="82"/>
    </row>
    <row r="154" spans="1:5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  <c r="E154" s="74" t="s">
        <v>65</v>
      </c>
    </row>
    <row r="155" spans="1:5" ht="13.5" x14ac:dyDescent="0.2">
      <c r="A155" s="9"/>
      <c r="B155" s="8"/>
      <c r="C155" s="13"/>
      <c r="D155" s="13"/>
      <c r="E155" s="13"/>
    </row>
    <row r="156" spans="1:5" ht="13.5" x14ac:dyDescent="0.2">
      <c r="A156" s="5"/>
      <c r="B156" s="6"/>
      <c r="C156" s="14"/>
      <c r="D156" s="14"/>
      <c r="E156" s="14"/>
    </row>
    <row r="157" spans="1:5" ht="13.5" x14ac:dyDescent="0.2">
      <c r="A157" s="5"/>
      <c r="B157" s="6"/>
      <c r="C157" s="14"/>
      <c r="D157" s="14"/>
      <c r="E157" s="14"/>
    </row>
    <row r="158" spans="1:5" ht="13.5" x14ac:dyDescent="0.2">
      <c r="A158" s="5"/>
      <c r="B158" s="6"/>
      <c r="C158" s="14"/>
      <c r="D158" s="14"/>
      <c r="E158" s="14"/>
    </row>
    <row r="159" spans="1:5" ht="13.5" x14ac:dyDescent="0.2">
      <c r="A159" s="5"/>
      <c r="B159" s="6"/>
      <c r="C159" s="14"/>
      <c r="D159" s="14"/>
      <c r="E159" s="14"/>
    </row>
    <row r="160" spans="1:5" ht="13.5" x14ac:dyDescent="0.2">
      <c r="A160" s="5"/>
      <c r="B160" s="6"/>
      <c r="C160" s="14"/>
      <c r="D160" s="14"/>
      <c r="E160" s="14"/>
    </row>
    <row r="161" spans="1:5" ht="13.5" x14ac:dyDescent="0.2">
      <c r="A161" s="5"/>
      <c r="B161" s="6"/>
      <c r="C161" s="14"/>
      <c r="D161" s="14"/>
      <c r="E161" s="14"/>
    </row>
    <row r="162" spans="1:5" ht="13.5" x14ac:dyDescent="0.2">
      <c r="A162" s="5"/>
      <c r="B162" s="6"/>
      <c r="C162" s="14"/>
      <c r="D162" s="14"/>
      <c r="E162" s="14"/>
    </row>
    <row r="163" spans="1:5" ht="13.5" x14ac:dyDescent="0.2">
      <c r="A163" s="5"/>
      <c r="B163" s="6"/>
      <c r="C163" s="14"/>
      <c r="D163" s="14"/>
      <c r="E163" s="14"/>
    </row>
    <row r="164" spans="1:5" ht="13.5" x14ac:dyDescent="0.2">
      <c r="A164" s="6"/>
      <c r="B164" s="6"/>
      <c r="C164" s="14"/>
      <c r="D164" s="14"/>
      <c r="E164" s="14"/>
    </row>
    <row r="165" spans="1:5" ht="13.5" x14ac:dyDescent="0.2">
      <c r="A165" s="6"/>
      <c r="B165" s="6"/>
      <c r="C165" s="14"/>
      <c r="D165" s="14"/>
      <c r="E165" s="14"/>
    </row>
    <row r="166" spans="1:5" ht="13.5" x14ac:dyDescent="0.2">
      <c r="A166" s="6"/>
      <c r="B166" s="6"/>
      <c r="C166" s="14"/>
      <c r="D166" s="14"/>
      <c r="E166" s="14"/>
    </row>
    <row r="167" spans="1:5" ht="13.5" x14ac:dyDescent="0.2">
      <c r="A167" s="79"/>
      <c r="B167" s="79"/>
      <c r="C167" s="80"/>
      <c r="D167" s="80"/>
      <c r="E167" s="80"/>
    </row>
    <row r="168" spans="1:5" ht="13.5" x14ac:dyDescent="0.2">
      <c r="A168" s="79"/>
      <c r="B168" s="79"/>
      <c r="C168" s="80"/>
      <c r="D168" s="80"/>
      <c r="E168" s="80"/>
    </row>
    <row r="169" spans="1:5" ht="14.25" thickBot="1" x14ac:dyDescent="0.25">
      <c r="A169" s="7"/>
      <c r="B169" s="7"/>
      <c r="C169" s="15"/>
      <c r="D169" s="15"/>
      <c r="E169" s="15"/>
    </row>
    <row r="170" spans="1:5" ht="14.25" thickBot="1" x14ac:dyDescent="0.25">
      <c r="A170" s="76" t="s">
        <v>22</v>
      </c>
      <c r="B170" s="76">
        <f>SUM(B155:B169)</f>
        <v>0</v>
      </c>
      <c r="C170" s="83" t="s">
        <v>28</v>
      </c>
      <c r="D170" s="77"/>
      <c r="E170" s="77"/>
    </row>
    <row r="171" spans="1:5" ht="15" thickBot="1" x14ac:dyDescent="0.35">
      <c r="A171" s="78"/>
      <c r="B171" s="78"/>
      <c r="C171" s="78"/>
      <c r="D171" s="78"/>
      <c r="E171" s="78"/>
    </row>
    <row r="172" spans="1:5" ht="18.75" thickBot="1" x14ac:dyDescent="0.25">
      <c r="A172" s="71" t="s">
        <v>14</v>
      </c>
      <c r="B172" s="72">
        <v>10</v>
      </c>
      <c r="C172" s="73" t="s">
        <v>23</v>
      </c>
      <c r="D172" s="129">
        <v>42809</v>
      </c>
      <c r="E172" s="82"/>
    </row>
    <row r="173" spans="1:5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  <c r="E173" s="74" t="s">
        <v>65</v>
      </c>
    </row>
    <row r="174" spans="1:5" ht="13.5" x14ac:dyDescent="0.2">
      <c r="A174" s="9"/>
      <c r="B174" s="8"/>
      <c r="C174" s="13"/>
      <c r="D174" s="13"/>
      <c r="E174" s="13"/>
    </row>
    <row r="175" spans="1:5" ht="13.5" x14ac:dyDescent="0.2">
      <c r="A175" s="5"/>
      <c r="B175" s="6"/>
      <c r="C175" s="14"/>
      <c r="D175" s="14"/>
      <c r="E175" s="14"/>
    </row>
    <row r="176" spans="1:5" ht="13.5" x14ac:dyDescent="0.2">
      <c r="A176" s="5"/>
      <c r="B176" s="6"/>
      <c r="C176" s="14"/>
      <c r="D176" s="14"/>
      <c r="E176" s="14"/>
    </row>
    <row r="177" spans="1:5" ht="13.5" x14ac:dyDescent="0.2">
      <c r="A177" s="5"/>
      <c r="B177" s="6"/>
      <c r="C177" s="14"/>
      <c r="D177" s="14"/>
      <c r="E177" s="14"/>
    </row>
    <row r="178" spans="1:5" ht="13.5" x14ac:dyDescent="0.2">
      <c r="A178" s="5"/>
      <c r="B178" s="6"/>
      <c r="C178" s="14"/>
      <c r="D178" s="14"/>
      <c r="E178" s="14"/>
    </row>
    <row r="179" spans="1:5" ht="13.5" x14ac:dyDescent="0.2">
      <c r="A179" s="5"/>
      <c r="B179" s="6"/>
      <c r="C179" s="14"/>
      <c r="D179" s="14"/>
      <c r="E179" s="14"/>
    </row>
    <row r="180" spans="1:5" ht="13.5" x14ac:dyDescent="0.2">
      <c r="A180" s="5"/>
      <c r="B180" s="6"/>
      <c r="C180" s="14"/>
      <c r="D180" s="14"/>
      <c r="E180" s="14"/>
    </row>
    <row r="181" spans="1:5" ht="13.5" x14ac:dyDescent="0.2">
      <c r="A181" s="5"/>
      <c r="B181" s="6"/>
      <c r="C181" s="14"/>
      <c r="D181" s="14"/>
      <c r="E181" s="14"/>
    </row>
    <row r="182" spans="1:5" ht="13.5" x14ac:dyDescent="0.2">
      <c r="A182" s="5"/>
      <c r="B182" s="6"/>
      <c r="C182" s="14"/>
      <c r="D182" s="14"/>
      <c r="E182" s="14"/>
    </row>
    <row r="183" spans="1:5" ht="13.5" x14ac:dyDescent="0.2">
      <c r="A183" s="6"/>
      <c r="B183" s="6"/>
      <c r="C183" s="14"/>
      <c r="D183" s="14"/>
      <c r="E183" s="14"/>
    </row>
    <row r="184" spans="1:5" ht="13.5" x14ac:dyDescent="0.2">
      <c r="A184" s="6"/>
      <c r="B184" s="6"/>
      <c r="C184" s="14"/>
      <c r="D184" s="14"/>
      <c r="E184" s="14"/>
    </row>
    <row r="185" spans="1:5" ht="13.5" x14ac:dyDescent="0.2">
      <c r="A185" s="6"/>
      <c r="B185" s="6"/>
      <c r="C185" s="14"/>
      <c r="D185" s="14"/>
      <c r="E185" s="14"/>
    </row>
    <row r="186" spans="1:5" ht="13.5" x14ac:dyDescent="0.2">
      <c r="A186" s="79"/>
      <c r="B186" s="79"/>
      <c r="C186" s="80"/>
      <c r="D186" s="80"/>
      <c r="E186" s="80"/>
    </row>
    <row r="187" spans="1:5" ht="13.5" x14ac:dyDescent="0.2">
      <c r="A187" s="79"/>
      <c r="B187" s="79"/>
      <c r="C187" s="80"/>
      <c r="D187" s="80"/>
      <c r="E187" s="80"/>
    </row>
    <row r="188" spans="1:5" ht="14.25" thickBot="1" x14ac:dyDescent="0.25">
      <c r="A188" s="7"/>
      <c r="B188" s="7"/>
      <c r="C188" s="15"/>
      <c r="D188" s="15"/>
      <c r="E188" s="15"/>
    </row>
    <row r="189" spans="1:5" ht="14.25" thickBot="1" x14ac:dyDescent="0.25">
      <c r="A189" s="76" t="s">
        <v>22</v>
      </c>
      <c r="B189" s="76">
        <f>SUM(B174:B188)</f>
        <v>0</v>
      </c>
      <c r="C189" s="83" t="s">
        <v>28</v>
      </c>
      <c r="D189" s="77"/>
      <c r="E189" s="77"/>
    </row>
    <row r="190" spans="1:5" ht="15" thickBot="1" x14ac:dyDescent="0.35">
      <c r="A190" s="78"/>
      <c r="B190" s="78"/>
      <c r="C190" s="78"/>
      <c r="D190" s="78"/>
      <c r="E190" s="78"/>
    </row>
    <row r="191" spans="1:5" ht="18.75" thickBot="1" x14ac:dyDescent="0.25">
      <c r="A191" s="71" t="s">
        <v>14</v>
      </c>
      <c r="B191" s="72">
        <v>11</v>
      </c>
      <c r="C191" s="73" t="s">
        <v>23</v>
      </c>
      <c r="D191" s="129">
        <v>42816</v>
      </c>
      <c r="E191" s="82"/>
    </row>
    <row r="192" spans="1:5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  <c r="E192" s="74" t="s">
        <v>65</v>
      </c>
    </row>
    <row r="193" spans="1:5" ht="13.5" x14ac:dyDescent="0.2">
      <c r="A193" s="9"/>
      <c r="B193" s="8"/>
      <c r="C193" s="13"/>
      <c r="D193" s="13"/>
      <c r="E193" s="13"/>
    </row>
    <row r="194" spans="1:5" ht="13.5" x14ac:dyDescent="0.2">
      <c r="A194" s="5"/>
      <c r="B194" s="6"/>
      <c r="C194" s="14"/>
      <c r="D194" s="14"/>
      <c r="E194" s="14"/>
    </row>
    <row r="195" spans="1:5" ht="13.5" x14ac:dyDescent="0.2">
      <c r="A195" s="5"/>
      <c r="B195" s="6"/>
      <c r="C195" s="14"/>
      <c r="D195" s="14"/>
      <c r="E195" s="14"/>
    </row>
    <row r="196" spans="1:5" ht="13.5" x14ac:dyDescent="0.2">
      <c r="A196" s="5"/>
      <c r="B196" s="6"/>
      <c r="C196" s="14"/>
      <c r="D196" s="14"/>
      <c r="E196" s="14"/>
    </row>
    <row r="197" spans="1:5" ht="13.5" x14ac:dyDescent="0.2">
      <c r="A197" s="5"/>
      <c r="B197" s="6"/>
      <c r="C197" s="14"/>
      <c r="D197" s="14"/>
      <c r="E197" s="14"/>
    </row>
    <row r="198" spans="1:5" ht="13.5" x14ac:dyDescent="0.2">
      <c r="A198" s="5"/>
      <c r="B198" s="6"/>
      <c r="C198" s="14"/>
      <c r="D198" s="14"/>
      <c r="E198" s="14"/>
    </row>
    <row r="199" spans="1:5" ht="13.5" x14ac:dyDescent="0.2">
      <c r="A199" s="5"/>
      <c r="B199" s="6"/>
      <c r="C199" s="14"/>
      <c r="D199" s="14"/>
      <c r="E199" s="14"/>
    </row>
    <row r="200" spans="1:5" ht="13.5" x14ac:dyDescent="0.2">
      <c r="A200" s="5"/>
      <c r="B200" s="6"/>
      <c r="C200" s="14"/>
      <c r="D200" s="14"/>
      <c r="E200" s="14"/>
    </row>
    <row r="201" spans="1:5" ht="13.5" x14ac:dyDescent="0.2">
      <c r="A201" s="5"/>
      <c r="B201" s="6"/>
      <c r="C201" s="14"/>
      <c r="D201" s="14"/>
      <c r="E201" s="14"/>
    </row>
    <row r="202" spans="1:5" ht="13.5" x14ac:dyDescent="0.2">
      <c r="A202" s="6"/>
      <c r="B202" s="6"/>
      <c r="C202" s="14"/>
      <c r="D202" s="14"/>
      <c r="E202" s="14"/>
    </row>
    <row r="203" spans="1:5" ht="13.5" x14ac:dyDescent="0.2">
      <c r="A203" s="6"/>
      <c r="B203" s="6"/>
      <c r="C203" s="14"/>
      <c r="D203" s="14"/>
      <c r="E203" s="14"/>
    </row>
    <row r="204" spans="1:5" ht="13.5" x14ac:dyDescent="0.2">
      <c r="A204" s="6"/>
      <c r="B204" s="6"/>
      <c r="C204" s="14"/>
      <c r="D204" s="14"/>
      <c r="E204" s="14"/>
    </row>
    <row r="205" spans="1:5" ht="13.5" x14ac:dyDescent="0.2">
      <c r="A205" s="79"/>
      <c r="B205" s="79"/>
      <c r="C205" s="80"/>
      <c r="D205" s="80"/>
      <c r="E205" s="80"/>
    </row>
    <row r="206" spans="1:5" ht="13.5" x14ac:dyDescent="0.2">
      <c r="A206" s="79"/>
      <c r="B206" s="79"/>
      <c r="C206" s="80"/>
      <c r="D206" s="80"/>
      <c r="E206" s="80"/>
    </row>
    <row r="207" spans="1:5" ht="14.25" thickBot="1" x14ac:dyDescent="0.25">
      <c r="A207" s="7"/>
      <c r="B207" s="7"/>
      <c r="C207" s="15"/>
      <c r="D207" s="15"/>
      <c r="E207" s="15"/>
    </row>
    <row r="208" spans="1:5" ht="14.25" thickBot="1" x14ac:dyDescent="0.25">
      <c r="A208" s="76" t="s">
        <v>22</v>
      </c>
      <c r="B208" s="76">
        <f>SUM(B193:B207)</f>
        <v>0</v>
      </c>
      <c r="C208" s="83" t="s">
        <v>28</v>
      </c>
      <c r="D208" s="77"/>
      <c r="E208" s="77"/>
    </row>
    <row r="209" spans="1:5" ht="15" thickBot="1" x14ac:dyDescent="0.35">
      <c r="A209" s="78"/>
      <c r="B209" s="78"/>
      <c r="C209" s="78"/>
      <c r="D209" s="78"/>
      <c r="E209" s="78"/>
    </row>
    <row r="210" spans="1:5" ht="18.75" thickBot="1" x14ac:dyDescent="0.25">
      <c r="A210" s="71" t="s">
        <v>14</v>
      </c>
      <c r="B210" s="72">
        <v>12</v>
      </c>
      <c r="C210" s="73" t="s">
        <v>23</v>
      </c>
      <c r="D210" s="129">
        <v>42823</v>
      </c>
      <c r="E210" s="82"/>
    </row>
    <row r="211" spans="1:5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  <c r="E211" s="74" t="s">
        <v>65</v>
      </c>
    </row>
    <row r="212" spans="1:5" ht="13.5" x14ac:dyDescent="0.2">
      <c r="A212" s="9"/>
      <c r="B212" s="8"/>
      <c r="C212" s="13"/>
      <c r="D212" s="13"/>
      <c r="E212" s="13"/>
    </row>
    <row r="213" spans="1:5" ht="13.5" x14ac:dyDescent="0.2">
      <c r="A213" s="5"/>
      <c r="B213" s="6"/>
      <c r="C213" s="14"/>
      <c r="D213" s="14"/>
      <c r="E213" s="14"/>
    </row>
    <row r="214" spans="1:5" ht="13.5" x14ac:dyDescent="0.2">
      <c r="A214" s="5"/>
      <c r="B214" s="6"/>
      <c r="C214" s="14"/>
      <c r="D214" s="14"/>
      <c r="E214" s="14"/>
    </row>
    <row r="215" spans="1:5" ht="13.5" x14ac:dyDescent="0.2">
      <c r="A215" s="5"/>
      <c r="B215" s="6"/>
      <c r="C215" s="14"/>
      <c r="D215" s="14"/>
      <c r="E215" s="14"/>
    </row>
    <row r="216" spans="1:5" ht="13.5" x14ac:dyDescent="0.2">
      <c r="A216" s="5"/>
      <c r="B216" s="6"/>
      <c r="C216" s="14"/>
      <c r="D216" s="14"/>
      <c r="E216" s="14"/>
    </row>
    <row r="217" spans="1:5" ht="13.5" x14ac:dyDescent="0.2">
      <c r="A217" s="5"/>
      <c r="B217" s="6"/>
      <c r="C217" s="14"/>
      <c r="D217" s="14"/>
      <c r="E217" s="14"/>
    </row>
    <row r="218" spans="1:5" ht="13.5" x14ac:dyDescent="0.2">
      <c r="A218" s="5"/>
      <c r="B218" s="6"/>
      <c r="C218" s="14"/>
      <c r="D218" s="14"/>
      <c r="E218" s="14"/>
    </row>
    <row r="219" spans="1:5" ht="13.5" x14ac:dyDescent="0.2">
      <c r="A219" s="5"/>
      <c r="B219" s="6"/>
      <c r="C219" s="14"/>
      <c r="D219" s="14"/>
      <c r="E219" s="14"/>
    </row>
    <row r="220" spans="1:5" ht="13.5" x14ac:dyDescent="0.2">
      <c r="A220" s="5"/>
      <c r="B220" s="6"/>
      <c r="C220" s="14"/>
      <c r="D220" s="14"/>
      <c r="E220" s="14"/>
    </row>
    <row r="221" spans="1:5" ht="13.5" x14ac:dyDescent="0.2">
      <c r="A221" s="6"/>
      <c r="B221" s="6"/>
      <c r="C221" s="14"/>
      <c r="D221" s="14"/>
      <c r="E221" s="14"/>
    </row>
    <row r="222" spans="1:5" ht="13.5" x14ac:dyDescent="0.2">
      <c r="A222" s="6"/>
      <c r="B222" s="6"/>
      <c r="C222" s="14"/>
      <c r="D222" s="14"/>
      <c r="E222" s="14"/>
    </row>
    <row r="223" spans="1:5" ht="13.5" x14ac:dyDescent="0.2">
      <c r="A223" s="6"/>
      <c r="B223" s="6"/>
      <c r="C223" s="14"/>
      <c r="D223" s="14"/>
      <c r="E223" s="14"/>
    </row>
    <row r="224" spans="1:5" ht="13.5" x14ac:dyDescent="0.2">
      <c r="A224" s="79"/>
      <c r="B224" s="79"/>
      <c r="C224" s="80"/>
      <c r="D224" s="80"/>
      <c r="E224" s="80"/>
    </row>
    <row r="225" spans="1:5" ht="13.5" x14ac:dyDescent="0.2">
      <c r="A225" s="79"/>
      <c r="B225" s="79"/>
      <c r="C225" s="80"/>
      <c r="D225" s="80"/>
      <c r="E225" s="80"/>
    </row>
    <row r="226" spans="1:5" ht="14.25" thickBot="1" x14ac:dyDescent="0.25">
      <c r="A226" s="7"/>
      <c r="B226" s="7"/>
      <c r="C226" s="15"/>
      <c r="D226" s="15"/>
      <c r="E226" s="15"/>
    </row>
    <row r="227" spans="1:5" ht="14.25" thickBot="1" x14ac:dyDescent="0.25">
      <c r="A227" s="76" t="s">
        <v>22</v>
      </c>
      <c r="B227" s="76">
        <f>SUM(B212:B226)</f>
        <v>0</v>
      </c>
      <c r="C227" s="83" t="s">
        <v>28</v>
      </c>
      <c r="D227" s="77"/>
      <c r="E227" s="77"/>
    </row>
    <row r="228" spans="1:5" ht="15" thickBot="1" x14ac:dyDescent="0.35">
      <c r="A228" s="78"/>
      <c r="B228" s="78"/>
      <c r="C228" s="78"/>
      <c r="D228" s="78"/>
      <c r="E228" s="78"/>
    </row>
    <row r="229" spans="1:5" ht="18.75" thickBot="1" x14ac:dyDescent="0.25">
      <c r="A229" s="71" t="s">
        <v>14</v>
      </c>
      <c r="B229" s="72">
        <v>13</v>
      </c>
      <c r="C229" s="73" t="s">
        <v>23</v>
      </c>
      <c r="D229" s="129">
        <v>42830</v>
      </c>
      <c r="E229" s="82"/>
    </row>
    <row r="230" spans="1:5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  <c r="E230" s="74" t="s">
        <v>65</v>
      </c>
    </row>
    <row r="231" spans="1:5" ht="13.5" x14ac:dyDescent="0.2">
      <c r="A231" s="9"/>
      <c r="B231" s="8"/>
      <c r="C231" s="13"/>
      <c r="D231" s="13"/>
      <c r="E231" s="13"/>
    </row>
    <row r="232" spans="1:5" ht="13.5" x14ac:dyDescent="0.2">
      <c r="A232" s="5"/>
      <c r="B232" s="6"/>
      <c r="C232" s="14"/>
      <c r="D232" s="14"/>
      <c r="E232" s="14"/>
    </row>
    <row r="233" spans="1:5" ht="13.5" x14ac:dyDescent="0.2">
      <c r="A233" s="5"/>
      <c r="B233" s="6"/>
      <c r="C233" s="14"/>
      <c r="D233" s="14"/>
      <c r="E233" s="14"/>
    </row>
    <row r="234" spans="1:5" ht="13.5" x14ac:dyDescent="0.2">
      <c r="A234" s="5"/>
      <c r="B234" s="6"/>
      <c r="C234" s="14"/>
      <c r="D234" s="14"/>
      <c r="E234" s="14"/>
    </row>
    <row r="235" spans="1:5" ht="13.5" x14ac:dyDescent="0.2">
      <c r="A235" s="5"/>
      <c r="B235" s="6"/>
      <c r="C235" s="14"/>
      <c r="D235" s="14"/>
      <c r="E235" s="14"/>
    </row>
    <row r="236" spans="1:5" ht="13.5" x14ac:dyDescent="0.2">
      <c r="A236" s="5"/>
      <c r="B236" s="6"/>
      <c r="C236" s="14"/>
      <c r="D236" s="14"/>
      <c r="E236" s="14"/>
    </row>
    <row r="237" spans="1:5" ht="13.5" x14ac:dyDescent="0.2">
      <c r="A237" s="5"/>
      <c r="B237" s="6"/>
      <c r="C237" s="14"/>
      <c r="D237" s="14"/>
      <c r="E237" s="14"/>
    </row>
    <row r="238" spans="1:5" ht="13.5" x14ac:dyDescent="0.2">
      <c r="A238" s="5"/>
      <c r="B238" s="6"/>
      <c r="C238" s="14"/>
      <c r="D238" s="14"/>
      <c r="E238" s="14"/>
    </row>
    <row r="239" spans="1:5" ht="13.5" x14ac:dyDescent="0.2">
      <c r="A239" s="5"/>
      <c r="B239" s="6"/>
      <c r="C239" s="14"/>
      <c r="D239" s="14"/>
      <c r="E239" s="14"/>
    </row>
    <row r="240" spans="1:5" ht="13.5" x14ac:dyDescent="0.2">
      <c r="A240" s="6"/>
      <c r="B240" s="6"/>
      <c r="C240" s="14"/>
      <c r="D240" s="14"/>
      <c r="E240" s="14"/>
    </row>
    <row r="241" spans="1:5" ht="13.5" x14ac:dyDescent="0.2">
      <c r="A241" s="6"/>
      <c r="B241" s="6"/>
      <c r="C241" s="14"/>
      <c r="D241" s="14"/>
      <c r="E241" s="14"/>
    </row>
    <row r="242" spans="1:5" ht="13.5" x14ac:dyDescent="0.2">
      <c r="A242" s="6"/>
      <c r="B242" s="6"/>
      <c r="C242" s="14"/>
      <c r="D242" s="14"/>
      <c r="E242" s="14"/>
    </row>
    <row r="243" spans="1:5" ht="13.5" x14ac:dyDescent="0.2">
      <c r="A243" s="79"/>
      <c r="B243" s="79"/>
      <c r="C243" s="80"/>
      <c r="D243" s="80"/>
      <c r="E243" s="80"/>
    </row>
    <row r="244" spans="1:5" ht="13.5" x14ac:dyDescent="0.2">
      <c r="A244" s="79"/>
      <c r="B244" s="79"/>
      <c r="C244" s="80"/>
      <c r="D244" s="80"/>
      <c r="E244" s="80"/>
    </row>
    <row r="245" spans="1:5" ht="14.25" thickBot="1" x14ac:dyDescent="0.25">
      <c r="A245" s="7"/>
      <c r="B245" s="7"/>
      <c r="C245" s="15"/>
      <c r="D245" s="15"/>
      <c r="E245" s="15"/>
    </row>
    <row r="246" spans="1:5" ht="14.25" thickBot="1" x14ac:dyDescent="0.25">
      <c r="A246" s="76" t="s">
        <v>22</v>
      </c>
      <c r="B246" s="76">
        <f>SUM(B231:B245)</f>
        <v>0</v>
      </c>
      <c r="C246" s="83" t="s">
        <v>28</v>
      </c>
      <c r="D246" s="77"/>
      <c r="E246" s="77"/>
    </row>
    <row r="247" spans="1:5" ht="15" thickBot="1" x14ac:dyDescent="0.35">
      <c r="A247" s="78"/>
      <c r="B247" s="78"/>
      <c r="C247" s="78"/>
      <c r="D247" s="78"/>
      <c r="E247" s="78"/>
    </row>
    <row r="248" spans="1:5" ht="18.75" thickBot="1" x14ac:dyDescent="0.25">
      <c r="A248" s="71" t="s">
        <v>14</v>
      </c>
      <c r="B248" s="72">
        <v>14</v>
      </c>
      <c r="C248" s="73" t="s">
        <v>23</v>
      </c>
      <c r="D248" s="129">
        <v>42837</v>
      </c>
      <c r="E248" s="82"/>
    </row>
    <row r="249" spans="1:5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  <c r="E249" s="74" t="s">
        <v>65</v>
      </c>
    </row>
    <row r="250" spans="1:5" ht="13.5" x14ac:dyDescent="0.2">
      <c r="A250" s="9"/>
      <c r="B250" s="8"/>
      <c r="C250" s="13"/>
      <c r="D250" s="13"/>
      <c r="E250" s="13"/>
    </row>
    <row r="251" spans="1:5" ht="13.5" x14ac:dyDescent="0.2">
      <c r="A251" s="5"/>
      <c r="B251" s="6"/>
      <c r="C251" s="14"/>
      <c r="D251" s="14"/>
      <c r="E251" s="14"/>
    </row>
    <row r="252" spans="1:5" ht="13.5" x14ac:dyDescent="0.2">
      <c r="A252" s="5"/>
      <c r="B252" s="6"/>
      <c r="C252" s="14"/>
      <c r="D252" s="14"/>
      <c r="E252" s="14"/>
    </row>
    <row r="253" spans="1:5" ht="13.5" x14ac:dyDescent="0.2">
      <c r="A253" s="5"/>
      <c r="B253" s="6"/>
      <c r="C253" s="14"/>
      <c r="D253" s="14"/>
      <c r="E253" s="14"/>
    </row>
    <row r="254" spans="1:5" ht="13.5" x14ac:dyDescent="0.2">
      <c r="A254" s="5"/>
      <c r="B254" s="6"/>
      <c r="C254" s="14"/>
      <c r="D254" s="14"/>
      <c r="E254" s="14"/>
    </row>
    <row r="255" spans="1:5" ht="13.5" x14ac:dyDescent="0.2">
      <c r="A255" s="5"/>
      <c r="B255" s="6"/>
      <c r="C255" s="14"/>
      <c r="D255" s="14"/>
      <c r="E255" s="14"/>
    </row>
    <row r="256" spans="1:5" ht="13.5" x14ac:dyDescent="0.2">
      <c r="A256" s="5"/>
      <c r="B256" s="6"/>
      <c r="C256" s="14"/>
      <c r="D256" s="14"/>
      <c r="E256" s="14"/>
    </row>
    <row r="257" spans="1:5" ht="13.5" x14ac:dyDescent="0.2">
      <c r="A257" s="5"/>
      <c r="B257" s="6"/>
      <c r="C257" s="14"/>
      <c r="D257" s="14"/>
      <c r="E257" s="14"/>
    </row>
    <row r="258" spans="1:5" ht="13.5" x14ac:dyDescent="0.2">
      <c r="A258" s="5"/>
      <c r="B258" s="6"/>
      <c r="C258" s="14"/>
      <c r="D258" s="14"/>
      <c r="E258" s="14"/>
    </row>
    <row r="259" spans="1:5" ht="13.5" x14ac:dyDescent="0.2">
      <c r="A259" s="6"/>
      <c r="B259" s="6"/>
      <c r="C259" s="14"/>
      <c r="D259" s="14"/>
      <c r="E259" s="14"/>
    </row>
    <row r="260" spans="1:5" ht="13.5" x14ac:dyDescent="0.2">
      <c r="A260" s="6"/>
      <c r="B260" s="6"/>
      <c r="C260" s="14"/>
      <c r="D260" s="14"/>
      <c r="E260" s="14"/>
    </row>
    <row r="261" spans="1:5" ht="13.5" x14ac:dyDescent="0.2">
      <c r="A261" s="6"/>
      <c r="B261" s="6"/>
      <c r="C261" s="14"/>
      <c r="D261" s="14"/>
      <c r="E261" s="14"/>
    </row>
    <row r="262" spans="1:5" ht="13.5" x14ac:dyDescent="0.2">
      <c r="A262" s="79"/>
      <c r="B262" s="79"/>
      <c r="C262" s="80"/>
      <c r="D262" s="80"/>
      <c r="E262" s="80"/>
    </row>
    <row r="263" spans="1:5" ht="13.5" x14ac:dyDescent="0.2">
      <c r="A263" s="79"/>
      <c r="B263" s="79"/>
      <c r="C263" s="80"/>
      <c r="D263" s="80"/>
      <c r="E263" s="80"/>
    </row>
    <row r="264" spans="1:5" ht="14.25" thickBot="1" x14ac:dyDescent="0.25">
      <c r="A264" s="7"/>
      <c r="B264" s="7"/>
      <c r="C264" s="15"/>
      <c r="D264" s="15"/>
      <c r="E264" s="15"/>
    </row>
    <row r="265" spans="1:5" ht="14.25" thickBot="1" x14ac:dyDescent="0.25">
      <c r="A265" s="76" t="s">
        <v>22</v>
      </c>
      <c r="B265" s="76">
        <f>SUM(B250:B264)</f>
        <v>0</v>
      </c>
      <c r="C265" s="83" t="s">
        <v>28</v>
      </c>
      <c r="D265" s="77"/>
      <c r="E265" s="77"/>
    </row>
    <row r="266" spans="1:5" ht="15" thickBot="1" x14ac:dyDescent="0.35">
      <c r="A266" s="78"/>
      <c r="B266" s="78"/>
      <c r="C266" s="78"/>
      <c r="D266" s="78"/>
      <c r="E266" s="78"/>
    </row>
    <row r="267" spans="1:5" ht="18.75" thickBot="1" x14ac:dyDescent="0.25">
      <c r="A267" s="71" t="s">
        <v>14</v>
      </c>
      <c r="B267" s="72">
        <v>15</v>
      </c>
      <c r="C267" s="73" t="s">
        <v>23</v>
      </c>
      <c r="D267" s="129">
        <v>42844</v>
      </c>
      <c r="E267" s="82"/>
    </row>
    <row r="268" spans="1:5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  <c r="E268" s="74" t="s">
        <v>65</v>
      </c>
    </row>
    <row r="269" spans="1:5" ht="13.5" x14ac:dyDescent="0.2">
      <c r="A269" s="9"/>
      <c r="B269" s="8"/>
      <c r="C269" s="13"/>
      <c r="D269" s="13"/>
      <c r="E269" s="13"/>
    </row>
    <row r="270" spans="1:5" ht="13.5" x14ac:dyDescent="0.2">
      <c r="A270" s="5"/>
      <c r="B270" s="6"/>
      <c r="C270" s="14"/>
      <c r="D270" s="14"/>
      <c r="E270" s="14"/>
    </row>
    <row r="271" spans="1:5" ht="13.5" x14ac:dyDescent="0.2">
      <c r="A271" s="5"/>
      <c r="B271" s="6"/>
      <c r="C271" s="14"/>
      <c r="D271" s="14"/>
      <c r="E271" s="14"/>
    </row>
    <row r="272" spans="1:5" ht="13.5" x14ac:dyDescent="0.2">
      <c r="A272" s="5"/>
      <c r="B272" s="6"/>
      <c r="C272" s="14"/>
      <c r="D272" s="14"/>
      <c r="E272" s="14"/>
    </row>
    <row r="273" spans="1:5" ht="13.5" x14ac:dyDescent="0.2">
      <c r="A273" s="5"/>
      <c r="B273" s="6"/>
      <c r="C273" s="14"/>
      <c r="D273" s="14"/>
      <c r="E273" s="14"/>
    </row>
    <row r="274" spans="1:5" ht="13.5" x14ac:dyDescent="0.2">
      <c r="A274" s="5"/>
      <c r="B274" s="6"/>
      <c r="C274" s="14"/>
      <c r="D274" s="14"/>
      <c r="E274" s="14"/>
    </row>
    <row r="275" spans="1:5" ht="13.5" x14ac:dyDescent="0.2">
      <c r="A275" s="5"/>
      <c r="B275" s="6"/>
      <c r="C275" s="14"/>
      <c r="D275" s="14"/>
      <c r="E275" s="14"/>
    </row>
    <row r="276" spans="1:5" ht="13.5" x14ac:dyDescent="0.2">
      <c r="A276" s="5"/>
      <c r="B276" s="6"/>
      <c r="C276" s="14"/>
      <c r="D276" s="14"/>
      <c r="E276" s="14"/>
    </row>
    <row r="277" spans="1:5" ht="13.5" x14ac:dyDescent="0.2">
      <c r="A277" s="5"/>
      <c r="B277" s="6"/>
      <c r="C277" s="14"/>
      <c r="D277" s="14"/>
      <c r="E277" s="14"/>
    </row>
    <row r="278" spans="1:5" ht="13.5" x14ac:dyDescent="0.2">
      <c r="A278" s="6"/>
      <c r="B278" s="6"/>
      <c r="C278" s="14"/>
      <c r="D278" s="14"/>
      <c r="E278" s="14"/>
    </row>
    <row r="279" spans="1:5" ht="13.5" x14ac:dyDescent="0.2">
      <c r="A279" s="6"/>
      <c r="B279" s="6"/>
      <c r="C279" s="14"/>
      <c r="D279" s="14"/>
      <c r="E279" s="14"/>
    </row>
    <row r="280" spans="1:5" ht="13.5" x14ac:dyDescent="0.2">
      <c r="A280" s="6"/>
      <c r="B280" s="6"/>
      <c r="C280" s="14"/>
      <c r="D280" s="14"/>
      <c r="E280" s="14"/>
    </row>
    <row r="281" spans="1:5" ht="13.5" x14ac:dyDescent="0.2">
      <c r="A281" s="79"/>
      <c r="B281" s="79"/>
      <c r="C281" s="80"/>
      <c r="D281" s="80"/>
      <c r="E281" s="80"/>
    </row>
    <row r="282" spans="1:5" ht="13.5" x14ac:dyDescent="0.2">
      <c r="A282" s="79"/>
      <c r="B282" s="79"/>
      <c r="C282" s="80"/>
      <c r="D282" s="80"/>
      <c r="E282" s="80"/>
    </row>
    <row r="283" spans="1:5" ht="14.25" thickBot="1" x14ac:dyDescent="0.25">
      <c r="A283" s="7"/>
      <c r="B283" s="7"/>
      <c r="C283" s="15"/>
      <c r="D283" s="15"/>
      <c r="E283" s="15"/>
    </row>
    <row r="284" spans="1:5" ht="14.25" thickBot="1" x14ac:dyDescent="0.25">
      <c r="A284" s="76" t="s">
        <v>22</v>
      </c>
      <c r="B284" s="76">
        <f>SUM(B269:B283)</f>
        <v>0</v>
      </c>
      <c r="C284" s="83" t="s">
        <v>28</v>
      </c>
      <c r="D284" s="77"/>
      <c r="E284" s="77"/>
    </row>
    <row r="285" spans="1:5" ht="15" thickBot="1" x14ac:dyDescent="0.35">
      <c r="A285" s="78"/>
      <c r="B285" s="78"/>
      <c r="C285" s="78"/>
      <c r="D285" s="78"/>
      <c r="E285" s="78"/>
    </row>
    <row r="286" spans="1:5" ht="18.75" thickBot="1" x14ac:dyDescent="0.25">
      <c r="A286" s="71" t="s">
        <v>14</v>
      </c>
      <c r="B286" s="72">
        <v>16</v>
      </c>
      <c r="C286" s="73" t="s">
        <v>23</v>
      </c>
      <c r="D286" s="129">
        <v>42851</v>
      </c>
      <c r="E286" s="82"/>
    </row>
    <row r="287" spans="1:5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  <c r="E287" s="74" t="s">
        <v>65</v>
      </c>
    </row>
    <row r="288" spans="1:5" ht="13.5" x14ac:dyDescent="0.2">
      <c r="A288" s="9"/>
      <c r="B288" s="8"/>
      <c r="C288" s="13"/>
      <c r="D288" s="13"/>
      <c r="E288" s="13"/>
    </row>
    <row r="289" spans="1:5" ht="13.5" x14ac:dyDescent="0.2">
      <c r="A289" s="5"/>
      <c r="B289" s="6"/>
      <c r="C289" s="14"/>
      <c r="D289" s="14"/>
      <c r="E289" s="14"/>
    </row>
    <row r="290" spans="1:5" ht="13.5" x14ac:dyDescent="0.2">
      <c r="A290" s="5"/>
      <c r="B290" s="6"/>
      <c r="C290" s="14"/>
      <c r="D290" s="14"/>
      <c r="E290" s="14"/>
    </row>
    <row r="291" spans="1:5" ht="13.5" x14ac:dyDescent="0.2">
      <c r="A291" s="5"/>
      <c r="B291" s="6"/>
      <c r="C291" s="14"/>
      <c r="D291" s="14"/>
      <c r="E291" s="14"/>
    </row>
    <row r="292" spans="1:5" ht="13.5" x14ac:dyDescent="0.2">
      <c r="A292" s="5"/>
      <c r="B292" s="6"/>
      <c r="C292" s="14"/>
      <c r="D292" s="14"/>
      <c r="E292" s="14"/>
    </row>
    <row r="293" spans="1:5" ht="13.5" x14ac:dyDescent="0.2">
      <c r="A293" s="5"/>
      <c r="B293" s="6"/>
      <c r="C293" s="14"/>
      <c r="D293" s="14"/>
      <c r="E293" s="14"/>
    </row>
    <row r="294" spans="1:5" ht="13.5" x14ac:dyDescent="0.2">
      <c r="A294" s="5"/>
      <c r="B294" s="6"/>
      <c r="C294" s="14"/>
      <c r="D294" s="14"/>
      <c r="E294" s="14"/>
    </row>
    <row r="295" spans="1:5" ht="13.5" x14ac:dyDescent="0.2">
      <c r="A295" s="5"/>
      <c r="B295" s="6"/>
      <c r="C295" s="14"/>
      <c r="D295" s="14"/>
      <c r="E295" s="14"/>
    </row>
    <row r="296" spans="1:5" ht="13.5" x14ac:dyDescent="0.2">
      <c r="A296" s="5"/>
      <c r="B296" s="6"/>
      <c r="C296" s="14"/>
      <c r="D296" s="14"/>
      <c r="E296" s="14"/>
    </row>
    <row r="297" spans="1:5" ht="13.5" x14ac:dyDescent="0.2">
      <c r="A297" s="6"/>
      <c r="B297" s="6"/>
      <c r="C297" s="14"/>
      <c r="D297" s="14"/>
      <c r="E297" s="14"/>
    </row>
    <row r="298" spans="1:5" ht="13.5" x14ac:dyDescent="0.2">
      <c r="A298" s="6"/>
      <c r="B298" s="6"/>
      <c r="C298" s="14"/>
      <c r="D298" s="14"/>
      <c r="E298" s="14"/>
    </row>
    <row r="299" spans="1:5" ht="13.5" x14ac:dyDescent="0.2">
      <c r="A299" s="6"/>
      <c r="B299" s="6"/>
      <c r="C299" s="14"/>
      <c r="D299" s="14"/>
      <c r="E299" s="14"/>
    </row>
    <row r="300" spans="1:5" ht="13.5" x14ac:dyDescent="0.2">
      <c r="A300" s="79"/>
      <c r="B300" s="79"/>
      <c r="C300" s="80"/>
      <c r="D300" s="80"/>
      <c r="E300" s="80"/>
    </row>
    <row r="301" spans="1:5" ht="13.5" x14ac:dyDescent="0.2">
      <c r="A301" s="79"/>
      <c r="B301" s="79"/>
      <c r="C301" s="80"/>
      <c r="D301" s="80"/>
      <c r="E301" s="80"/>
    </row>
    <row r="302" spans="1:5" ht="14.25" thickBot="1" x14ac:dyDescent="0.25">
      <c r="A302" s="7"/>
      <c r="B302" s="7"/>
      <c r="C302" s="15"/>
      <c r="D302" s="15"/>
      <c r="E302" s="15"/>
    </row>
    <row r="303" spans="1:5" ht="14.25" thickBot="1" x14ac:dyDescent="0.25">
      <c r="A303" s="76" t="s">
        <v>22</v>
      </c>
      <c r="B303" s="76">
        <f>SUM(B288:B302)</f>
        <v>0</v>
      </c>
      <c r="C303" s="83" t="s">
        <v>28</v>
      </c>
      <c r="D303" s="77"/>
      <c r="E303" s="77"/>
    </row>
    <row r="304" spans="1:5" ht="15" thickBot="1" x14ac:dyDescent="0.35">
      <c r="A304" s="78"/>
      <c r="B304" s="78"/>
      <c r="C304" s="78"/>
      <c r="D304" s="78"/>
      <c r="E304" s="78"/>
    </row>
    <row r="305" spans="1:5" ht="18.75" thickBot="1" x14ac:dyDescent="0.25">
      <c r="A305" s="71" t="s">
        <v>14</v>
      </c>
      <c r="B305" s="72">
        <v>17</v>
      </c>
      <c r="C305" s="73" t="s">
        <v>23</v>
      </c>
      <c r="D305" s="129">
        <v>42858</v>
      </c>
      <c r="E305" s="82"/>
    </row>
    <row r="306" spans="1:5" ht="27.75" thickBot="1" x14ac:dyDescent="0.25">
      <c r="A306" s="74" t="s">
        <v>3</v>
      </c>
      <c r="B306" s="75" t="s">
        <v>15</v>
      </c>
      <c r="C306" s="74" t="s">
        <v>7</v>
      </c>
      <c r="D306" s="74" t="s">
        <v>13</v>
      </c>
      <c r="E306" s="74" t="s">
        <v>65</v>
      </c>
    </row>
    <row r="307" spans="1:5" ht="13.5" x14ac:dyDescent="0.2">
      <c r="A307" s="9"/>
      <c r="B307" s="8"/>
      <c r="C307" s="13"/>
      <c r="D307" s="13"/>
      <c r="E307" s="13"/>
    </row>
    <row r="308" spans="1:5" ht="13.5" x14ac:dyDescent="0.2">
      <c r="A308" s="5"/>
      <c r="B308" s="6"/>
      <c r="C308" s="14"/>
      <c r="D308" s="14"/>
      <c r="E308" s="14"/>
    </row>
    <row r="309" spans="1:5" ht="13.5" x14ac:dyDescent="0.2">
      <c r="A309" s="5"/>
      <c r="B309" s="6"/>
      <c r="C309" s="14"/>
      <c r="D309" s="14"/>
      <c r="E309" s="14"/>
    </row>
    <row r="310" spans="1:5" ht="13.5" x14ac:dyDescent="0.2">
      <c r="A310" s="5"/>
      <c r="B310" s="6"/>
      <c r="C310" s="14"/>
      <c r="D310" s="14"/>
      <c r="E310" s="14"/>
    </row>
    <row r="311" spans="1:5" ht="13.5" x14ac:dyDescent="0.2">
      <c r="A311" s="5"/>
      <c r="B311" s="6"/>
      <c r="C311" s="14"/>
      <c r="D311" s="14"/>
      <c r="E311" s="14"/>
    </row>
    <row r="312" spans="1:5" ht="13.5" x14ac:dyDescent="0.2">
      <c r="A312" s="5"/>
      <c r="B312" s="6"/>
      <c r="C312" s="14"/>
      <c r="D312" s="14"/>
      <c r="E312" s="14"/>
    </row>
    <row r="313" spans="1:5" ht="13.5" x14ac:dyDescent="0.2">
      <c r="A313" s="5"/>
      <c r="B313" s="6"/>
      <c r="C313" s="14"/>
      <c r="D313" s="14"/>
      <c r="E313" s="14"/>
    </row>
    <row r="314" spans="1:5" ht="13.5" x14ac:dyDescent="0.2">
      <c r="A314" s="5"/>
      <c r="B314" s="6"/>
      <c r="C314" s="14"/>
      <c r="D314" s="14"/>
      <c r="E314" s="14"/>
    </row>
    <row r="315" spans="1:5" ht="13.5" x14ac:dyDescent="0.2">
      <c r="A315" s="5"/>
      <c r="B315" s="6"/>
      <c r="C315" s="14"/>
      <c r="D315" s="14"/>
      <c r="E315" s="14"/>
    </row>
    <row r="316" spans="1:5" ht="13.5" x14ac:dyDescent="0.2">
      <c r="A316" s="6"/>
      <c r="B316" s="6"/>
      <c r="C316" s="14"/>
      <c r="D316" s="14"/>
      <c r="E316" s="14"/>
    </row>
    <row r="317" spans="1:5" ht="13.5" x14ac:dyDescent="0.2">
      <c r="A317" s="6"/>
      <c r="B317" s="6"/>
      <c r="C317" s="14"/>
      <c r="D317" s="14"/>
      <c r="E317" s="14"/>
    </row>
    <row r="318" spans="1:5" ht="13.5" x14ac:dyDescent="0.2">
      <c r="A318" s="6"/>
      <c r="B318" s="6"/>
      <c r="C318" s="14"/>
      <c r="D318" s="14"/>
      <c r="E318" s="14"/>
    </row>
    <row r="319" spans="1:5" ht="13.5" x14ac:dyDescent="0.2">
      <c r="A319" s="79"/>
      <c r="B319" s="79"/>
      <c r="C319" s="80"/>
      <c r="D319" s="80"/>
      <c r="E319" s="80"/>
    </row>
    <row r="320" spans="1:5" ht="13.5" x14ac:dyDescent="0.2">
      <c r="A320" s="79"/>
      <c r="B320" s="79"/>
      <c r="C320" s="80"/>
      <c r="D320" s="80"/>
      <c r="E320" s="80"/>
    </row>
    <row r="321" spans="1:5" ht="14.25" thickBot="1" x14ac:dyDescent="0.25">
      <c r="A321" s="7"/>
      <c r="B321" s="7"/>
      <c r="C321" s="15"/>
      <c r="D321" s="15"/>
      <c r="E321" s="15"/>
    </row>
    <row r="322" spans="1:5" ht="14.25" thickBot="1" x14ac:dyDescent="0.25">
      <c r="A322" s="76" t="s">
        <v>22</v>
      </c>
      <c r="B322" s="76">
        <f>SUM(B307:B321)</f>
        <v>0</v>
      </c>
      <c r="C322" s="83" t="s">
        <v>28</v>
      </c>
      <c r="D322" s="77"/>
      <c r="E322" s="77"/>
    </row>
    <row r="323" spans="1:5" ht="14.25" x14ac:dyDescent="0.3">
      <c r="A323" s="78"/>
      <c r="B323" s="78"/>
      <c r="C323" s="78"/>
      <c r="D323" s="78"/>
      <c r="E323" s="78"/>
    </row>
    <row r="324" spans="1:5" x14ac:dyDescent="0.2">
      <c r="A324" s="84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 B307:B32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 A307:A321">
      <formula1>lstTasks</formula1>
    </dataValidation>
  </dataValidations>
  <hyperlinks>
    <hyperlink ref="D5" r:id="rId1" display="UML-UseAc"/>
    <hyperlink ref="D6" r:id="rId2" display="Brainstorm.mm (Freeplane)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3"/>
  <headerFooter>
    <oddHeader>&amp;L&amp;"ETML L,Normal"&amp;24ETML</oddHeader>
    <oddFooter>&amp;C&amp;F&amp;L&amp;D</oddFooter>
  </headerFooter>
  <drawing r:id="rId4"/>
  <legacyDrawing r:id="rId5"/>
  <controls>
    <mc:AlternateContent xmlns:mc="http://schemas.openxmlformats.org/markup-compatibility/2006">
      <mc:Choice Requires="x14">
        <control shapeId="41985" r:id="rId6" name="btnImportRealisation">
          <controlPr defaultSize="0" autoLine="0" r:id="rId7">
            <anchor moveWithCells="1">
              <from>
                <xdr:col>5</xdr:col>
                <xdr:colOff>161925</xdr:colOff>
                <xdr:row>1</xdr:row>
                <xdr:rowOff>47625</xdr:rowOff>
              </from>
              <to>
                <xdr:col>7</xdr:col>
                <xdr:colOff>523875</xdr:colOff>
                <xdr:row>3</xdr:row>
                <xdr:rowOff>161925</xdr:rowOff>
              </to>
            </anchor>
          </controlPr>
        </control>
      </mc:Choice>
      <mc:Fallback>
        <control shapeId="41985" r:id="rId6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view="pageBreakPreview" zoomScaleNormal="100" zoomScaleSheetLayoutView="100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2</v>
      </c>
      <c r="C3" s="13"/>
      <c r="D3" s="13"/>
    </row>
    <row r="4" spans="1:4" s="81" customFormat="1" ht="27" x14ac:dyDescent="0.2">
      <c r="A4" s="5" t="s">
        <v>31</v>
      </c>
      <c r="B4" s="6">
        <v>3</v>
      </c>
      <c r="C4" s="14"/>
      <c r="D4" s="14"/>
    </row>
    <row r="5" spans="1:4" s="81" customFormat="1" ht="13.5" x14ac:dyDescent="0.2">
      <c r="A5" s="5" t="s">
        <v>32</v>
      </c>
      <c r="B5" s="6">
        <v>7</v>
      </c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5" t="s">
        <v>28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32</v>
      </c>
      <c r="B17" s="8">
        <v>3</v>
      </c>
      <c r="C17" s="13"/>
      <c r="D17" s="13"/>
    </row>
    <row r="18" spans="1:9" ht="13.5" x14ac:dyDescent="0.2">
      <c r="A18" s="5" t="s">
        <v>33</v>
      </c>
      <c r="B18" s="6">
        <v>3</v>
      </c>
      <c r="C18" s="14"/>
      <c r="D18" s="14"/>
    </row>
    <row r="19" spans="1:9" ht="27" x14ac:dyDescent="0.2">
      <c r="A19" s="5" t="s">
        <v>43</v>
      </c>
      <c r="B19" s="6">
        <v>4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34</v>
      </c>
      <c r="B20" s="6">
        <v>2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5" t="s">
        <v>28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34</v>
      </c>
      <c r="B31" s="8">
        <v>3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38</v>
      </c>
      <c r="B32" s="6">
        <v>8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34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5" t="s">
        <v>28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39</v>
      </c>
      <c r="B45" s="8">
        <v>9</v>
      </c>
      <c r="C45" s="13"/>
      <c r="D45" s="13"/>
    </row>
    <row r="46" spans="1:9" ht="27" x14ac:dyDescent="0.2">
      <c r="A46" s="5" t="s">
        <v>40</v>
      </c>
      <c r="B46" s="6">
        <v>3</v>
      </c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5" t="s">
        <v>28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39</v>
      </c>
      <c r="B59" s="8">
        <v>3</v>
      </c>
      <c r="C59" s="13"/>
      <c r="D59" s="13"/>
    </row>
    <row r="60" spans="1:4" ht="27" x14ac:dyDescent="0.2">
      <c r="A60" s="5" t="s">
        <v>40</v>
      </c>
      <c r="B60" s="6">
        <v>9</v>
      </c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5" t="s">
        <v>28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27" x14ac:dyDescent="0.2">
      <c r="A73" s="9" t="s">
        <v>40</v>
      </c>
      <c r="B73" s="8">
        <v>9</v>
      </c>
      <c r="C73" s="13"/>
      <c r="D73" s="13"/>
    </row>
    <row r="74" spans="1:4" ht="27" x14ac:dyDescent="0.2">
      <c r="A74" s="5" t="s">
        <v>43</v>
      </c>
      <c r="B74" s="6">
        <v>3</v>
      </c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5" t="s">
        <v>28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40.5" x14ac:dyDescent="0.2">
      <c r="A87" s="9" t="s">
        <v>41</v>
      </c>
      <c r="B87" s="8">
        <v>10</v>
      </c>
      <c r="C87" s="13"/>
      <c r="D87" s="13"/>
    </row>
    <row r="88" spans="1:4" ht="13.5" x14ac:dyDescent="0.2">
      <c r="A88" s="5" t="s">
        <v>39</v>
      </c>
      <c r="B88" s="6">
        <v>2</v>
      </c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5" t="s">
        <v>28</v>
      </c>
      <c r="D97" s="17"/>
    </row>
    <row r="98" spans="1:4" ht="15" thickBot="1" x14ac:dyDescent="0.35">
      <c r="A98" s="18"/>
      <c r="B98" s="18"/>
      <c r="C98" s="18"/>
      <c r="D98" s="18"/>
    </row>
    <row r="99" spans="1:4" ht="18.75" thickBot="1" x14ac:dyDescent="0.25">
      <c r="A99" s="10" t="s">
        <v>14</v>
      </c>
      <c r="B99" s="11">
        <v>8</v>
      </c>
      <c r="C99" s="31"/>
      <c r="D99" s="33"/>
    </row>
    <row r="100" spans="1:4" ht="27.75" thickBot="1" x14ac:dyDescent="0.25">
      <c r="A100" s="12" t="s">
        <v>3</v>
      </c>
      <c r="B100" s="32" t="s">
        <v>15</v>
      </c>
      <c r="C100" s="12" t="s">
        <v>7</v>
      </c>
      <c r="D100" s="12" t="s">
        <v>13</v>
      </c>
    </row>
    <row r="101" spans="1:4" ht="40.5" x14ac:dyDescent="0.2">
      <c r="A101" s="9" t="s">
        <v>41</v>
      </c>
      <c r="B101" s="8">
        <v>12</v>
      </c>
      <c r="C101" s="13"/>
      <c r="D101" s="13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5" t="s">
        <v>28</v>
      </c>
      <c r="D111" s="17"/>
    </row>
    <row r="112" spans="1:4" ht="15" thickBot="1" x14ac:dyDescent="0.35">
      <c r="A112" s="18"/>
      <c r="B112" s="18"/>
      <c r="C112" s="18"/>
      <c r="D112" s="18"/>
    </row>
    <row r="113" spans="1:4" ht="18.75" thickBot="1" x14ac:dyDescent="0.25">
      <c r="A113" s="10" t="s">
        <v>14</v>
      </c>
      <c r="B113" s="11">
        <v>9</v>
      </c>
      <c r="C113" s="31"/>
      <c r="D113" s="33"/>
    </row>
    <row r="114" spans="1:4" ht="27.75" thickBot="1" x14ac:dyDescent="0.25">
      <c r="A114" s="12" t="s">
        <v>3</v>
      </c>
      <c r="B114" s="32" t="s">
        <v>15</v>
      </c>
      <c r="C114" s="12" t="s">
        <v>7</v>
      </c>
      <c r="D114" s="12" t="s">
        <v>13</v>
      </c>
    </row>
    <row r="115" spans="1:4" ht="40.5" x14ac:dyDescent="0.2">
      <c r="A115" s="9" t="s">
        <v>41</v>
      </c>
      <c r="B115" s="8">
        <v>6</v>
      </c>
      <c r="C115" s="13"/>
      <c r="D115" s="13"/>
    </row>
    <row r="116" spans="1:4" ht="13.5" x14ac:dyDescent="0.2">
      <c r="A116" s="5" t="s">
        <v>36</v>
      </c>
      <c r="B116" s="6">
        <v>6</v>
      </c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5" t="s">
        <v>28</v>
      </c>
      <c r="D125" s="17"/>
    </row>
    <row r="126" spans="1:4" ht="15" thickBot="1" x14ac:dyDescent="0.35">
      <c r="A126" s="18"/>
      <c r="B126" s="18"/>
      <c r="C126" s="18"/>
      <c r="D126" s="18"/>
    </row>
    <row r="127" spans="1:4" ht="18.75" thickBot="1" x14ac:dyDescent="0.25">
      <c r="A127" s="10" t="s">
        <v>14</v>
      </c>
      <c r="B127" s="11">
        <v>10</v>
      </c>
      <c r="C127" s="31"/>
      <c r="D127" s="33"/>
    </row>
    <row r="128" spans="1:4" ht="27.75" thickBot="1" x14ac:dyDescent="0.25">
      <c r="A128" s="12" t="s">
        <v>3</v>
      </c>
      <c r="B128" s="32" t="s">
        <v>15</v>
      </c>
      <c r="C128" s="12" t="s">
        <v>7</v>
      </c>
      <c r="D128" s="12" t="s">
        <v>13</v>
      </c>
    </row>
    <row r="129" spans="1:4" ht="13.5" x14ac:dyDescent="0.2">
      <c r="A129" s="9" t="s">
        <v>36</v>
      </c>
      <c r="B129" s="8">
        <v>9</v>
      </c>
      <c r="C129" s="13"/>
      <c r="D129" s="13"/>
    </row>
    <row r="130" spans="1:4" ht="13.5" x14ac:dyDescent="0.2">
      <c r="A130" s="5" t="s">
        <v>37</v>
      </c>
      <c r="B130" s="6">
        <v>3</v>
      </c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5" t="s">
        <v>28</v>
      </c>
      <c r="D139" s="17"/>
    </row>
    <row r="140" spans="1:4" ht="15" thickBot="1" x14ac:dyDescent="0.35">
      <c r="A140" s="18"/>
      <c r="B140" s="18"/>
      <c r="C140" s="18"/>
      <c r="D140" s="18"/>
    </row>
    <row r="141" spans="1:4" ht="18.75" thickBot="1" x14ac:dyDescent="0.25">
      <c r="A141" s="10" t="s">
        <v>14</v>
      </c>
      <c r="B141" s="11">
        <v>11</v>
      </c>
      <c r="C141" s="31"/>
      <c r="D141" s="33"/>
    </row>
    <row r="142" spans="1:4" ht="27.75" thickBot="1" x14ac:dyDescent="0.25">
      <c r="A142" s="12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37</v>
      </c>
      <c r="B143" s="8">
        <v>6</v>
      </c>
      <c r="C143" s="13"/>
      <c r="D143" s="13"/>
    </row>
    <row r="144" spans="1:4" ht="27" x14ac:dyDescent="0.2">
      <c r="A144" s="5" t="s">
        <v>44</v>
      </c>
      <c r="B144" s="6">
        <v>6</v>
      </c>
      <c r="C144" s="14"/>
      <c r="D144" s="14"/>
    </row>
    <row r="145" spans="1:4" ht="13.5" x14ac:dyDescent="0.2">
      <c r="A145" s="5"/>
      <c r="B145" s="6"/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5" t="s">
        <v>28</v>
      </c>
      <c r="D153" s="17"/>
    </row>
    <row r="154" spans="1:4" ht="15" thickBot="1" x14ac:dyDescent="0.35">
      <c r="A154" s="18"/>
      <c r="B154" s="18"/>
      <c r="C154" s="18"/>
      <c r="D154" s="18"/>
    </row>
    <row r="155" spans="1:4" ht="18.75" thickBot="1" x14ac:dyDescent="0.25">
      <c r="A155" s="10" t="s">
        <v>14</v>
      </c>
      <c r="B155" s="11">
        <v>12</v>
      </c>
      <c r="C155" s="31"/>
      <c r="D155" s="33"/>
    </row>
    <row r="156" spans="1:4" ht="27.75" thickBot="1" x14ac:dyDescent="0.25">
      <c r="A156" s="12" t="s">
        <v>3</v>
      </c>
      <c r="B156" s="32" t="s">
        <v>15</v>
      </c>
      <c r="C156" s="12" t="s">
        <v>7</v>
      </c>
      <c r="D156" s="12" t="s">
        <v>13</v>
      </c>
    </row>
    <row r="157" spans="1:4" ht="27" x14ac:dyDescent="0.2">
      <c r="A157" s="9" t="s">
        <v>35</v>
      </c>
      <c r="B157" s="8">
        <v>12</v>
      </c>
      <c r="C157" s="13"/>
      <c r="D157" s="13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5" t="s">
        <v>28</v>
      </c>
      <c r="D167" s="17"/>
    </row>
    <row r="168" spans="1:4" ht="15" thickBot="1" x14ac:dyDescent="0.35">
      <c r="A168" s="18"/>
      <c r="B168" s="18"/>
      <c r="C168" s="18"/>
      <c r="D168" s="18"/>
    </row>
    <row r="169" spans="1:4" ht="18.75" thickBot="1" x14ac:dyDescent="0.25">
      <c r="A169" s="10" t="s">
        <v>14</v>
      </c>
      <c r="B169" s="11">
        <v>13</v>
      </c>
      <c r="C169" s="31"/>
      <c r="D169" s="33"/>
    </row>
    <row r="170" spans="1:4" ht="27.75" thickBot="1" x14ac:dyDescent="0.25">
      <c r="A170" s="12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35</v>
      </c>
      <c r="B171" s="8">
        <v>12</v>
      </c>
      <c r="C171" s="13"/>
      <c r="D171" s="13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5" t="s">
        <v>28</v>
      </c>
      <c r="D181" s="17"/>
    </row>
    <row r="182" spans="1:4" ht="15" thickBot="1" x14ac:dyDescent="0.35">
      <c r="A182" s="18"/>
      <c r="B182" s="18"/>
      <c r="C182" s="18"/>
      <c r="D182" s="18"/>
    </row>
    <row r="183" spans="1:4" ht="18.75" thickBot="1" x14ac:dyDescent="0.25">
      <c r="A183" s="10" t="s">
        <v>14</v>
      </c>
      <c r="B183" s="11">
        <v>14</v>
      </c>
      <c r="C183" s="31"/>
      <c r="D183" s="33"/>
    </row>
    <row r="184" spans="1:4" ht="27.75" thickBot="1" x14ac:dyDescent="0.25">
      <c r="A184" s="12" t="s">
        <v>3</v>
      </c>
      <c r="B184" s="32" t="s">
        <v>15</v>
      </c>
      <c r="C184" s="12" t="s">
        <v>7</v>
      </c>
      <c r="D184" s="12" t="s">
        <v>13</v>
      </c>
    </row>
    <row r="185" spans="1:4" ht="13.5" x14ac:dyDescent="0.2">
      <c r="A185" s="9" t="s">
        <v>45</v>
      </c>
      <c r="B185" s="8">
        <v>12</v>
      </c>
      <c r="C185" s="13"/>
      <c r="D185" s="13"/>
    </row>
    <row r="186" spans="1:4" ht="13.5" x14ac:dyDescent="0.2">
      <c r="A186" s="5"/>
      <c r="B186" s="6"/>
      <c r="C186" s="14"/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5" t="s">
        <v>28</v>
      </c>
      <c r="D195" s="17"/>
    </row>
    <row r="196" spans="1:4" ht="15" thickBot="1" x14ac:dyDescent="0.35">
      <c r="A196" s="18"/>
      <c r="B196" s="18"/>
      <c r="C196" s="18"/>
      <c r="D196" s="18"/>
    </row>
    <row r="197" spans="1:4" ht="18.75" thickBot="1" x14ac:dyDescent="0.25">
      <c r="A197" s="10" t="s">
        <v>14</v>
      </c>
      <c r="B197" s="11">
        <v>15</v>
      </c>
      <c r="C197" s="31"/>
      <c r="D197" s="33"/>
    </row>
    <row r="198" spans="1:4" ht="27.75" thickBot="1" x14ac:dyDescent="0.25">
      <c r="A198" s="12" t="s">
        <v>3</v>
      </c>
      <c r="B198" s="32" t="s">
        <v>15</v>
      </c>
      <c r="C198" s="12" t="s">
        <v>7</v>
      </c>
      <c r="D198" s="12" t="s">
        <v>13</v>
      </c>
    </row>
    <row r="199" spans="1:4" ht="13.5" x14ac:dyDescent="0.2">
      <c r="A199" s="9" t="s">
        <v>45</v>
      </c>
      <c r="B199" s="8">
        <v>12</v>
      </c>
      <c r="C199" s="13"/>
      <c r="D199" s="13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5" t="s">
        <v>28</v>
      </c>
      <c r="D209" s="17"/>
    </row>
    <row r="210" spans="1:4" ht="15" thickBot="1" x14ac:dyDescent="0.35">
      <c r="A210" s="18"/>
      <c r="B210" s="18"/>
      <c r="C210" s="18"/>
      <c r="D210" s="18"/>
    </row>
    <row r="211" spans="1:4" ht="18.75" thickBot="1" x14ac:dyDescent="0.25">
      <c r="A211" s="10" t="s">
        <v>14</v>
      </c>
      <c r="B211" s="11">
        <v>16</v>
      </c>
      <c r="C211" s="31"/>
      <c r="D211" s="33"/>
    </row>
    <row r="212" spans="1:4" ht="27.75" thickBot="1" x14ac:dyDescent="0.25">
      <c r="A212" s="12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45</v>
      </c>
      <c r="B213" s="8">
        <v>12</v>
      </c>
      <c r="C213" s="13"/>
      <c r="D213" s="13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5" t="s">
        <v>28</v>
      </c>
      <c r="D223" s="17"/>
    </row>
    <row r="224" spans="1:4" ht="15" thickBot="1" x14ac:dyDescent="0.35">
      <c r="A224" s="18"/>
      <c r="B224" s="18"/>
      <c r="C224" s="18"/>
      <c r="D224" s="18"/>
    </row>
    <row r="225" spans="1:4" ht="18.75" thickBot="1" x14ac:dyDescent="0.25">
      <c r="A225" s="10" t="s">
        <v>14</v>
      </c>
      <c r="B225" s="11">
        <v>17</v>
      </c>
      <c r="C225" s="31"/>
      <c r="D225" s="33"/>
    </row>
    <row r="226" spans="1:4" ht="27.75" thickBot="1" x14ac:dyDescent="0.25">
      <c r="A226" s="12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45</v>
      </c>
      <c r="B227" s="8">
        <v>12</v>
      </c>
      <c r="C227" s="13"/>
      <c r="D227" s="13"/>
    </row>
    <row r="228" spans="1:4" ht="13.5" x14ac:dyDescent="0.2">
      <c r="A228" s="5"/>
      <c r="B228" s="6"/>
      <c r="C228" s="14"/>
      <c r="D228" s="14"/>
    </row>
    <row r="229" spans="1:4" ht="13.5" x14ac:dyDescent="0.2">
      <c r="A229" s="5"/>
      <c r="B229" s="6"/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5" t="s">
        <v>28</v>
      </c>
      <c r="D237" s="17"/>
    </row>
    <row r="238" spans="1:4" ht="14.25" x14ac:dyDescent="0.3">
      <c r="A238" s="18"/>
      <c r="B238" s="18"/>
      <c r="C238" s="18"/>
      <c r="D238" s="18"/>
    </row>
    <row r="239" spans="1:4" x14ac:dyDescent="0.2">
      <c r="A239" s="84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2017-01-11T09:24:15Z</dcterms:modified>
  <cp:contentStatus>Version 8.0</cp:contentStatus>
</cp:coreProperties>
</file>